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drawings/drawing4.xml" ContentType="application/vnd.openxmlformats-officedocument.drawingml.chartshapes+xml"/>
  <Override PartName="/xl/charts/chart1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JOB\DKS_python\media\"/>
    </mc:Choice>
  </mc:AlternateContent>
  <bookViews>
    <workbookView xWindow="5580" yWindow="90" windowWidth="19155" windowHeight="12330" activeTab="3"/>
  </bookViews>
  <sheets>
    <sheet name="1ступень" sheetId="4" r:id="rId1"/>
    <sheet name="2ступени" sheetId="1" r:id="rId2"/>
    <sheet name="Формирование таблиц" sheetId="5" r:id="rId3"/>
    <sheet name="огиб" sheetId="6" r:id="rId4"/>
    <sheet name="Лист1" sheetId="7" r:id="rId5"/>
  </sheets>
  <functionGroups builtInGroupCount="18"/>
  <externalReferences>
    <externalReference r:id="rId6"/>
    <externalReference r:id="rId7"/>
  </externalReferences>
  <calcPr calcId="152511"/>
</workbook>
</file>

<file path=xl/calcChain.xml><?xml version="1.0" encoding="utf-8"?>
<calcChain xmlns="http://schemas.openxmlformats.org/spreadsheetml/2006/main">
  <c r="K35" i="6" l="1"/>
  <c r="K34" i="6"/>
  <c r="M36" i="6"/>
  <c r="AJ39" i="6"/>
  <c r="AJ40" i="6"/>
  <c r="D6" i="5"/>
  <c r="D34" i="6"/>
  <c r="E7" i="6" l="1"/>
  <c r="E10" i="6"/>
  <c r="K36" i="6" l="1"/>
  <c r="C6" i="5"/>
  <c r="J34" i="6"/>
  <c r="S6" i="5"/>
  <c r="T6" i="5" s="1"/>
  <c r="U6" i="5" s="1"/>
  <c r="AD6" i="5" s="1"/>
  <c r="J4" i="4"/>
  <c r="K4" i="4" s="1"/>
  <c r="S52" i="5" l="1"/>
  <c r="T52" i="5" s="1"/>
  <c r="S53" i="5"/>
  <c r="T53" i="5" s="1"/>
  <c r="AK39" i="6" l="1"/>
  <c r="AL39" i="6"/>
  <c r="AM39" i="6"/>
  <c r="AU46" i="6"/>
  <c r="AV46" i="6"/>
  <c r="AU35" i="6"/>
  <c r="AV35" i="6"/>
  <c r="AU36" i="6"/>
  <c r="AV36" i="6"/>
  <c r="AU47" i="6"/>
  <c r="AV47" i="6"/>
  <c r="AK40" i="6"/>
  <c r="AL40" i="6"/>
  <c r="AM40" i="6"/>
  <c r="AK41" i="6"/>
  <c r="AL41" i="6"/>
  <c r="AM41" i="6"/>
  <c r="AK42" i="6"/>
  <c r="AL42" i="6"/>
  <c r="AM42" i="6"/>
  <c r="AK43" i="6"/>
  <c r="AL43" i="6"/>
  <c r="AM43" i="6"/>
  <c r="AK44" i="6"/>
  <c r="AL44" i="6"/>
  <c r="AM44" i="6"/>
  <c r="AK45" i="6"/>
  <c r="AL45" i="6"/>
  <c r="AM45" i="6"/>
  <c r="AK46" i="6"/>
  <c r="AL46" i="6"/>
  <c r="AM46" i="6"/>
  <c r="AK47" i="6"/>
  <c r="AL47" i="6"/>
  <c r="AM47" i="6"/>
  <c r="AK48" i="6"/>
  <c r="AL48" i="6"/>
  <c r="AM48" i="6"/>
  <c r="AK49" i="6"/>
  <c r="AL49" i="6"/>
  <c r="AM49" i="6"/>
  <c r="AK50" i="6"/>
  <c r="AL50" i="6"/>
  <c r="AM50" i="6"/>
  <c r="AK51" i="6"/>
  <c r="AL51" i="6"/>
  <c r="AM51" i="6"/>
  <c r="AK52" i="6"/>
  <c r="AL52" i="6"/>
  <c r="AM52" i="6"/>
  <c r="AK53" i="6"/>
  <c r="AL53" i="6"/>
  <c r="AM53" i="6"/>
  <c r="AK54" i="6"/>
  <c r="AL54" i="6"/>
  <c r="AM54" i="6"/>
  <c r="AK55" i="6"/>
  <c r="AL55" i="6"/>
  <c r="AM55" i="6"/>
  <c r="AK56" i="6"/>
  <c r="AL56" i="6"/>
  <c r="AM56" i="6"/>
  <c r="AK57" i="6"/>
  <c r="AL57" i="6"/>
  <c r="AM57" i="6"/>
  <c r="AK58" i="6"/>
  <c r="AL58" i="6"/>
  <c r="AM58" i="6"/>
  <c r="AK59" i="6"/>
  <c r="AL59" i="6"/>
  <c r="AM59" i="6"/>
  <c r="AK60" i="6"/>
  <c r="AL60" i="6"/>
  <c r="AM60" i="6"/>
  <c r="AK61" i="6"/>
  <c r="AL61" i="6"/>
  <c r="AM61" i="6"/>
  <c r="AK62" i="6"/>
  <c r="AL62" i="6"/>
  <c r="AM62" i="6"/>
  <c r="AK63" i="6"/>
  <c r="AL63" i="6"/>
  <c r="AM63" i="6"/>
  <c r="AK64" i="6"/>
  <c r="AL64" i="6"/>
  <c r="AM64" i="6"/>
  <c r="AK65" i="6"/>
  <c r="AL65" i="6"/>
  <c r="AM65" i="6"/>
  <c r="AK66" i="6"/>
  <c r="AL66" i="6"/>
  <c r="AM66" i="6"/>
  <c r="AK67" i="6"/>
  <c r="AL67" i="6"/>
  <c r="AM67" i="6"/>
  <c r="AK68" i="6"/>
  <c r="AL68" i="6"/>
  <c r="AM68" i="6"/>
  <c r="AK69" i="6"/>
  <c r="AL69" i="6"/>
  <c r="AM69" i="6"/>
  <c r="AK70" i="6"/>
  <c r="AL70" i="6"/>
  <c r="AM7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U43" i="6"/>
  <c r="AV43" i="6"/>
  <c r="AU44" i="6"/>
  <c r="AV44" i="6"/>
  <c r="AU45" i="6"/>
  <c r="AV45" i="6"/>
  <c r="AU33" i="6"/>
  <c r="AV33" i="6"/>
  <c r="AU34" i="6"/>
  <c r="AV34" i="6"/>
  <c r="AU37" i="6"/>
  <c r="AV37" i="6"/>
  <c r="AU38" i="6"/>
  <c r="AV38" i="6"/>
  <c r="AU39" i="6"/>
  <c r="AV39" i="6"/>
  <c r="AU40" i="6"/>
  <c r="AV40" i="6"/>
  <c r="AU41" i="6"/>
  <c r="AV41" i="6"/>
  <c r="AU42" i="6"/>
  <c r="AV42" i="6"/>
  <c r="AV32" i="6"/>
  <c r="AU32" i="6"/>
  <c r="D64" i="6" l="1"/>
  <c r="D63" i="6"/>
  <c r="D62" i="6"/>
  <c r="D61" i="6"/>
  <c r="D60" i="6"/>
  <c r="D59" i="6"/>
  <c r="D58" i="6"/>
  <c r="D57" i="6"/>
  <c r="D56" i="6"/>
  <c r="D55" i="6"/>
  <c r="M54" i="6"/>
  <c r="J54" i="6"/>
  <c r="D54" i="6"/>
  <c r="M53" i="6"/>
  <c r="J53" i="6"/>
  <c r="D53" i="6"/>
  <c r="M52" i="6"/>
  <c r="K52" i="6"/>
  <c r="J52" i="6"/>
  <c r="D52" i="6"/>
  <c r="M51" i="6"/>
  <c r="K51" i="6"/>
  <c r="J51" i="6"/>
  <c r="D51" i="6"/>
  <c r="M50" i="6"/>
  <c r="L50" i="6"/>
  <c r="K50" i="6"/>
  <c r="J50" i="6"/>
  <c r="D50" i="6"/>
  <c r="M49" i="6"/>
  <c r="L49" i="6"/>
  <c r="K49" i="6"/>
  <c r="J49" i="6"/>
  <c r="D49" i="6"/>
  <c r="M48" i="6"/>
  <c r="L48" i="6"/>
  <c r="K48" i="6"/>
  <c r="J48" i="6"/>
  <c r="D48" i="6"/>
  <c r="M47" i="6"/>
  <c r="L47" i="6"/>
  <c r="K47" i="6"/>
  <c r="J47" i="6"/>
  <c r="D47" i="6"/>
  <c r="M46" i="6"/>
  <c r="L46" i="6"/>
  <c r="K46" i="6"/>
  <c r="J46" i="6"/>
  <c r="D46" i="6"/>
  <c r="N45" i="6"/>
  <c r="M45" i="6"/>
  <c r="L45" i="6"/>
  <c r="K45" i="6"/>
  <c r="J45" i="6"/>
  <c r="D45" i="6"/>
  <c r="N44" i="6"/>
  <c r="M44" i="6"/>
  <c r="L44" i="6"/>
  <c r="K44" i="6"/>
  <c r="J44" i="6"/>
  <c r="D44" i="6"/>
  <c r="N43" i="6"/>
  <c r="M43" i="6"/>
  <c r="L43" i="6"/>
  <c r="K43" i="6"/>
  <c r="J43" i="6"/>
  <c r="D43" i="6"/>
  <c r="N42" i="6"/>
  <c r="M42" i="6"/>
  <c r="L42" i="6"/>
  <c r="K42" i="6"/>
  <c r="J42" i="6"/>
  <c r="D42" i="6"/>
  <c r="N41" i="6"/>
  <c r="M41" i="6"/>
  <c r="L41" i="6"/>
  <c r="K41" i="6"/>
  <c r="J41" i="6"/>
  <c r="D41" i="6"/>
  <c r="N40" i="6"/>
  <c r="M40" i="6"/>
  <c r="L40" i="6"/>
  <c r="K40" i="6"/>
  <c r="J40" i="6"/>
  <c r="D40" i="6"/>
  <c r="O39" i="6"/>
  <c r="N39" i="6"/>
  <c r="M39" i="6"/>
  <c r="L39" i="6"/>
  <c r="K39" i="6"/>
  <c r="J39" i="6"/>
  <c r="D39" i="6"/>
  <c r="O38" i="6"/>
  <c r="N38" i="6"/>
  <c r="M38" i="6"/>
  <c r="L38" i="6"/>
  <c r="K38" i="6"/>
  <c r="J38" i="6"/>
  <c r="D38" i="6"/>
  <c r="O37" i="6"/>
  <c r="N37" i="6"/>
  <c r="M37" i="6"/>
  <c r="L37" i="6"/>
  <c r="K37" i="6"/>
  <c r="J37" i="6"/>
  <c r="D37" i="6"/>
  <c r="O36" i="6"/>
  <c r="N36" i="6"/>
  <c r="L36" i="6"/>
  <c r="J36" i="6"/>
  <c r="D36" i="6"/>
  <c r="O35" i="6"/>
  <c r="N35" i="6"/>
  <c r="L35" i="6"/>
  <c r="J35" i="6"/>
  <c r="D35" i="6"/>
  <c r="N34" i="6"/>
  <c r="L34" i="6"/>
  <c r="K32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9" i="6"/>
  <c r="E8" i="6"/>
  <c r="G7" i="6"/>
  <c r="S7" i="5" l="1"/>
  <c r="T7" i="5" s="1"/>
  <c r="S8" i="5" l="1"/>
  <c r="T8" i="5" s="1"/>
  <c r="S9" i="5" l="1"/>
  <c r="T9" i="5" s="1"/>
  <c r="U3" i="5"/>
  <c r="AD3" i="5" s="1"/>
  <c r="AM6" i="5" s="1"/>
  <c r="D5" i="5"/>
  <c r="AM4" i="5"/>
  <c r="D74" i="5"/>
  <c r="S10" i="5" l="1"/>
  <c r="T10" i="5" s="1"/>
  <c r="F5" i="5"/>
  <c r="G5" i="5"/>
  <c r="H5" i="5"/>
  <c r="I5" i="5"/>
  <c r="J5" i="5"/>
  <c r="K5" i="5"/>
  <c r="L5" i="5"/>
  <c r="E5" i="5"/>
  <c r="C7" i="5"/>
  <c r="C8" i="5"/>
  <c r="C9" i="5"/>
  <c r="C10" i="5"/>
  <c r="C11" i="5"/>
  <c r="S11" i="5" l="1"/>
  <c r="T11" i="5" s="1"/>
  <c r="AT4" i="5"/>
  <c r="S12" i="5" l="1"/>
  <c r="T12" i="5" s="1"/>
  <c r="C12" i="5"/>
  <c r="AA3" i="5"/>
  <c r="AS4" i="5"/>
  <c r="V3" i="5"/>
  <c r="S13" i="5" l="1"/>
  <c r="T13" i="5" s="1"/>
  <c r="C13" i="5"/>
  <c r="AJ3" i="5"/>
  <c r="AE3" i="5"/>
  <c r="W3" i="5"/>
  <c r="AF3" i="5" s="1"/>
  <c r="X3" i="5"/>
  <c r="AG3" i="5" s="1"/>
  <c r="Y3" i="5"/>
  <c r="AH3" i="5" s="1"/>
  <c r="Z3" i="5"/>
  <c r="AI3" i="5" s="1"/>
  <c r="AB3" i="5"/>
  <c r="AK3" i="5" s="1"/>
  <c r="AC3" i="5"/>
  <c r="AL3" i="5" s="1"/>
  <c r="S14" i="5" l="1"/>
  <c r="T14" i="5" s="1"/>
  <c r="C14" i="5"/>
  <c r="AO4" i="5"/>
  <c r="AP4" i="5"/>
  <c r="AQ4" i="5"/>
  <c r="AR4" i="5"/>
  <c r="AU4" i="5"/>
  <c r="AN4" i="5"/>
  <c r="S15" i="5" l="1"/>
  <c r="T15" i="5" s="1"/>
  <c r="C15" i="5"/>
  <c r="S16" i="5" l="1"/>
  <c r="T16" i="5" s="1"/>
  <c r="C16" i="5"/>
  <c r="S17" i="5" l="1"/>
  <c r="T17" i="5" s="1"/>
  <c r="C17" i="5"/>
  <c r="J18" i="4"/>
  <c r="K18" i="4" s="1"/>
  <c r="J17" i="4"/>
  <c r="K17" i="4" s="1"/>
  <c r="J16" i="4"/>
  <c r="K16" i="4" s="1"/>
  <c r="J15" i="4"/>
  <c r="K15" i="4" s="1"/>
  <c r="J14" i="4"/>
  <c r="K14" i="4" s="1"/>
  <c r="J13" i="4"/>
  <c r="K13" i="4" s="1"/>
  <c r="J12" i="4"/>
  <c r="K12" i="4" s="1"/>
  <c r="J11" i="4"/>
  <c r="K11" i="4" s="1"/>
  <c r="J10" i="4"/>
  <c r="K10" i="4" s="1"/>
  <c r="J9" i="4"/>
  <c r="K9" i="4" s="1"/>
  <c r="J8" i="4"/>
  <c r="K8" i="4" s="1"/>
  <c r="J7" i="4"/>
  <c r="K7" i="4" s="1"/>
  <c r="J6" i="4"/>
  <c r="K6" i="4" s="1"/>
  <c r="J5" i="4"/>
  <c r="K5" i="4" s="1"/>
  <c r="I1" i="4"/>
  <c r="J4" i="1"/>
  <c r="K4" i="1" s="1"/>
  <c r="E29" i="1"/>
  <c r="F30" i="1"/>
  <c r="E35" i="1"/>
  <c r="D24" i="4"/>
  <c r="D22" i="4"/>
  <c r="F30" i="4"/>
  <c r="E23" i="1"/>
  <c r="E25" i="1"/>
  <c r="C27" i="4"/>
  <c r="C24" i="1"/>
  <c r="E28" i="4"/>
  <c r="F23" i="4"/>
  <c r="F29" i="4"/>
  <c r="C30" i="1"/>
  <c r="D36" i="4"/>
  <c r="D25" i="1"/>
  <c r="D33" i="4"/>
  <c r="F31" i="1"/>
  <c r="F22" i="1"/>
  <c r="F32" i="4"/>
  <c r="C33" i="4"/>
  <c r="E27" i="4"/>
  <c r="D24" i="1"/>
  <c r="E24" i="1"/>
  <c r="D36" i="1"/>
  <c r="F35" i="1"/>
  <c r="F23" i="1"/>
  <c r="C23" i="1"/>
  <c r="D32" i="1"/>
  <c r="F22" i="4"/>
  <c r="C31" i="1"/>
  <c r="D35" i="1"/>
  <c r="D22" i="1"/>
  <c r="D29" i="4"/>
  <c r="C35" i="1"/>
  <c r="F28" i="4"/>
  <c r="C35" i="4"/>
  <c r="C23" i="4"/>
  <c r="F34" i="4"/>
  <c r="C33" i="1"/>
  <c r="F34" i="1"/>
  <c r="D33" i="1"/>
  <c r="F33" i="1"/>
  <c r="D31" i="1"/>
  <c r="C28" i="1"/>
  <c r="F33" i="4"/>
  <c r="F26" i="4"/>
  <c r="C22" i="1"/>
  <c r="C26" i="4"/>
  <c r="E26" i="4"/>
  <c r="D23" i="1"/>
  <c r="E26" i="1"/>
  <c r="C29" i="4"/>
  <c r="D34" i="4"/>
  <c r="F32" i="1"/>
  <c r="F26" i="1"/>
  <c r="D25" i="4"/>
  <c r="E23" i="4"/>
  <c r="E30" i="4"/>
  <c r="F27" i="4"/>
  <c r="E36" i="4"/>
  <c r="E22" i="1"/>
  <c r="D27" i="1"/>
  <c r="C34" i="1"/>
  <c r="D28" i="1"/>
  <c r="C28" i="4"/>
  <c r="C26" i="1"/>
  <c r="E32" i="4"/>
  <c r="F36" i="1"/>
  <c r="E31" i="4"/>
  <c r="E30" i="1"/>
  <c r="C24" i="4"/>
  <c r="C36" i="4"/>
  <c r="C32" i="1"/>
  <c r="F24" i="4"/>
  <c r="C30" i="4"/>
  <c r="D30" i="4"/>
  <c r="C22" i="4"/>
  <c r="F36" i="4"/>
  <c r="C29" i="1"/>
  <c r="F29" i="1"/>
  <c r="D29" i="1"/>
  <c r="E22" i="4"/>
  <c r="E35" i="4"/>
  <c r="E34" i="4"/>
  <c r="E34" i="1"/>
  <c r="D35" i="4"/>
  <c r="D23" i="4"/>
  <c r="C25" i="1"/>
  <c r="D28" i="4"/>
  <c r="D27" i="4"/>
  <c r="F27" i="1"/>
  <c r="C32" i="4"/>
  <c r="E36" i="1"/>
  <c r="F25" i="1"/>
  <c r="E27" i="1"/>
  <c r="F25" i="4"/>
  <c r="E29" i="4"/>
  <c r="F28" i="1"/>
  <c r="E25" i="4"/>
  <c r="C34" i="4"/>
  <c r="E31" i="1"/>
  <c r="E32" i="1"/>
  <c r="E28" i="1"/>
  <c r="D34" i="1"/>
  <c r="D26" i="4"/>
  <c r="F35" i="4"/>
  <c r="C31" i="4"/>
  <c r="F24" i="1"/>
  <c r="D26" i="1"/>
  <c r="D30" i="1"/>
  <c r="E33" i="1"/>
  <c r="E24" i="4"/>
  <c r="C36" i="1"/>
  <c r="C25" i="4"/>
  <c r="E33" i="4"/>
  <c r="F31" i="4"/>
  <c r="D31" i="4"/>
  <c r="D32" i="4"/>
  <c r="C27" i="1"/>
  <c r="C37" i="4" l="1"/>
  <c r="S18" i="5"/>
  <c r="T18" i="5" s="1"/>
  <c r="C18" i="5"/>
  <c r="D37" i="4"/>
  <c r="D37" i="1"/>
  <c r="C37" i="1"/>
  <c r="L5" i="1" s="1"/>
  <c r="I1" i="1"/>
  <c r="J5" i="1"/>
  <c r="K5" i="1" s="1"/>
  <c r="J6" i="1"/>
  <c r="K6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L14" i="4" l="1"/>
  <c r="M14" i="4" s="1"/>
  <c r="N14" i="4" s="1"/>
  <c r="L4" i="4"/>
  <c r="M4" i="4" s="1"/>
  <c r="S19" i="5"/>
  <c r="T19" i="5" s="1"/>
  <c r="C19" i="5"/>
  <c r="L18" i="4"/>
  <c r="M18" i="4" s="1"/>
  <c r="N18" i="4" s="1"/>
  <c r="L15" i="4"/>
  <c r="M15" i="4" s="1"/>
  <c r="N15" i="4" s="1"/>
  <c r="L16" i="4"/>
  <c r="M16" i="4" s="1"/>
  <c r="P16" i="4" s="1"/>
  <c r="L7" i="4"/>
  <c r="M7" i="4" s="1"/>
  <c r="P7" i="4" s="1"/>
  <c r="L10" i="4"/>
  <c r="M10" i="4" s="1"/>
  <c r="N10" i="4" s="1"/>
  <c r="L5" i="4"/>
  <c r="M5" i="4" s="1"/>
  <c r="O5" i="4" s="1"/>
  <c r="L13" i="4"/>
  <c r="M13" i="4" s="1"/>
  <c r="Q13" i="4" s="1"/>
  <c r="L8" i="4"/>
  <c r="M8" i="4" s="1"/>
  <c r="P8" i="4" s="1"/>
  <c r="L17" i="4"/>
  <c r="M17" i="4" s="1"/>
  <c r="O17" i="4" s="1"/>
  <c r="L6" i="4"/>
  <c r="M6" i="4" s="1"/>
  <c r="N6" i="4" s="1"/>
  <c r="L9" i="4"/>
  <c r="M9" i="4" s="1"/>
  <c r="P9" i="4" s="1"/>
  <c r="L12" i="4"/>
  <c r="M12" i="4" s="1"/>
  <c r="P12" i="4" s="1"/>
  <c r="L11" i="4"/>
  <c r="M11" i="4" s="1"/>
  <c r="O11" i="4" s="1"/>
  <c r="M5" i="1"/>
  <c r="L17" i="1"/>
  <c r="M17" i="1" s="1"/>
  <c r="L16" i="1"/>
  <c r="M16" i="1" s="1"/>
  <c r="L15" i="1"/>
  <c r="M15" i="1" s="1"/>
  <c r="L14" i="1"/>
  <c r="M14" i="1" s="1"/>
  <c r="L4" i="1"/>
  <c r="M4" i="1" s="1"/>
  <c r="N4" i="1" s="1"/>
  <c r="L6" i="1"/>
  <c r="M6" i="1" s="1"/>
  <c r="L13" i="1"/>
  <c r="M13" i="1" s="1"/>
  <c r="L12" i="1"/>
  <c r="M12" i="1" s="1"/>
  <c r="O12" i="1" s="1"/>
  <c r="L11" i="1"/>
  <c r="M11" i="1" s="1"/>
  <c r="L10" i="1"/>
  <c r="M10" i="1" s="1"/>
  <c r="L9" i="1"/>
  <c r="M9" i="1" s="1"/>
  <c r="L8" i="1"/>
  <c r="M8" i="1" s="1"/>
  <c r="L7" i="1"/>
  <c r="M7" i="1" s="1"/>
  <c r="O14" i="4" l="1"/>
  <c r="P14" i="4"/>
  <c r="Q14" i="4"/>
  <c r="P4" i="4"/>
  <c r="N4" i="4"/>
  <c r="S20" i="5"/>
  <c r="T20" i="5" s="1"/>
  <c r="C20" i="5"/>
  <c r="Q5" i="4"/>
  <c r="P5" i="4"/>
  <c r="P4" i="1"/>
  <c r="N16" i="4"/>
  <c r="Q10" i="4"/>
  <c r="O10" i="4"/>
  <c r="P10" i="4"/>
  <c r="Q9" i="4"/>
  <c r="N12" i="4"/>
  <c r="Q12" i="4"/>
  <c r="O15" i="4"/>
  <c r="P15" i="4"/>
  <c r="O12" i="4"/>
  <c r="Q4" i="1"/>
  <c r="Q15" i="4"/>
  <c r="O4" i="1"/>
  <c r="Q8" i="4"/>
  <c r="Q11" i="4"/>
  <c r="Q17" i="4"/>
  <c r="Q18" i="4"/>
  <c r="P11" i="4"/>
  <c r="N11" i="4"/>
  <c r="N17" i="4"/>
  <c r="N8" i="4"/>
  <c r="O6" i="4"/>
  <c r="O18" i="4"/>
  <c r="N9" i="4"/>
  <c r="O8" i="4"/>
  <c r="P17" i="4"/>
  <c r="P18" i="4"/>
  <c r="O9" i="4"/>
  <c r="Q16" i="4"/>
  <c r="O16" i="4"/>
  <c r="N5" i="4"/>
  <c r="Q4" i="4"/>
  <c r="N13" i="4"/>
  <c r="N7" i="4"/>
  <c r="O13" i="4"/>
  <c r="O7" i="4"/>
  <c r="P6" i="4"/>
  <c r="Q7" i="4"/>
  <c r="O4" i="4"/>
  <c r="P13" i="4"/>
  <c r="Q6" i="4"/>
  <c r="N8" i="1"/>
  <c r="Q8" i="1"/>
  <c r="P8" i="1"/>
  <c r="O8" i="1"/>
  <c r="N7" i="1"/>
  <c r="P7" i="1"/>
  <c r="O7" i="1"/>
  <c r="Q7" i="1"/>
  <c r="N6" i="1"/>
  <c r="Q6" i="1"/>
  <c r="P6" i="1"/>
  <c r="O6" i="1"/>
  <c r="N5" i="1"/>
  <c r="Q5" i="1"/>
  <c r="P5" i="1"/>
  <c r="O5" i="1"/>
  <c r="N9" i="1"/>
  <c r="Q9" i="1"/>
  <c r="P9" i="1"/>
  <c r="O9" i="1"/>
  <c r="N17" i="1"/>
  <c r="Q17" i="1"/>
  <c r="P17" i="1"/>
  <c r="O17" i="1"/>
  <c r="N12" i="1"/>
  <c r="Q12" i="1"/>
  <c r="P12" i="1"/>
  <c r="N13" i="1"/>
  <c r="Q13" i="1"/>
  <c r="P13" i="1"/>
  <c r="O13" i="1"/>
  <c r="N16" i="1"/>
  <c r="Q16" i="1"/>
  <c r="P16" i="1"/>
  <c r="O16" i="1"/>
  <c r="N10" i="1"/>
  <c r="Q10" i="1"/>
  <c r="P10" i="1"/>
  <c r="O10" i="1"/>
  <c r="N15" i="1"/>
  <c r="Q15" i="1"/>
  <c r="P15" i="1"/>
  <c r="O15" i="1"/>
  <c r="N14" i="1"/>
  <c r="Q14" i="1"/>
  <c r="O14" i="1"/>
  <c r="P14" i="1"/>
  <c r="N11" i="1"/>
  <c r="P11" i="1"/>
  <c r="O11" i="1"/>
  <c r="Q11" i="1"/>
  <c r="S21" i="5" l="1"/>
  <c r="T21" i="5" s="1"/>
  <c r="C21" i="5"/>
  <c r="S22" i="5" l="1"/>
  <c r="T22" i="5" s="1"/>
  <c r="C22" i="5"/>
  <c r="S23" i="5" l="1"/>
  <c r="T23" i="5" s="1"/>
  <c r="C23" i="5"/>
  <c r="U7" i="5" l="1"/>
  <c r="AD7" i="5" s="1"/>
  <c r="AM7" i="5" s="1"/>
  <c r="D7" i="5" s="1"/>
  <c r="S24" i="5"/>
  <c r="T24" i="5" s="1"/>
  <c r="C24" i="5"/>
  <c r="D75" i="5"/>
  <c r="U8" i="5" l="1"/>
  <c r="AD8" i="5" s="1"/>
  <c r="AM8" i="5" s="1"/>
  <c r="D8" i="5" s="1"/>
  <c r="S25" i="5"/>
  <c r="T25" i="5" s="1"/>
  <c r="C25" i="5"/>
  <c r="D76" i="5"/>
  <c r="U9" i="5" l="1"/>
  <c r="AD9" i="5" s="1"/>
  <c r="AM9" i="5" s="1"/>
  <c r="D9" i="5" s="1"/>
  <c r="S26" i="5"/>
  <c r="T26" i="5" s="1"/>
  <c r="C26" i="5"/>
  <c r="D77" i="5"/>
  <c r="U10" i="5" l="1"/>
  <c r="AD10" i="5" s="1"/>
  <c r="AM10" i="5" s="1"/>
  <c r="D10" i="5" s="1"/>
  <c r="S27" i="5"/>
  <c r="T27" i="5" s="1"/>
  <c r="C27" i="5"/>
  <c r="D78" i="5"/>
  <c r="U11" i="5" l="1"/>
  <c r="AD11" i="5" s="1"/>
  <c r="AM11" i="5" s="1"/>
  <c r="D11" i="5" s="1"/>
  <c r="S28" i="5"/>
  <c r="T28" i="5" s="1"/>
  <c r="C28" i="5"/>
  <c r="D79" i="5"/>
  <c r="U12" i="5" l="1"/>
  <c r="AD12" i="5" s="1"/>
  <c r="AM12" i="5" s="1"/>
  <c r="D12" i="5" s="1"/>
  <c r="S29" i="5"/>
  <c r="T29" i="5" s="1"/>
  <c r="C29" i="5"/>
  <c r="D80" i="5"/>
  <c r="U13" i="5" l="1"/>
  <c r="AD13" i="5" s="1"/>
  <c r="AM13" i="5" s="1"/>
  <c r="D13" i="5" s="1"/>
  <c r="S30" i="5"/>
  <c r="T30" i="5" s="1"/>
  <c r="C30" i="5"/>
  <c r="D81" i="5"/>
  <c r="U14" i="5" l="1"/>
  <c r="AD14" i="5" s="1"/>
  <c r="AM14" i="5" s="1"/>
  <c r="D14" i="5" s="1"/>
  <c r="S31" i="5"/>
  <c r="T31" i="5" s="1"/>
  <c r="C31" i="5"/>
  <c r="D82" i="5"/>
  <c r="U15" i="5" l="1"/>
  <c r="AD15" i="5" s="1"/>
  <c r="AM15" i="5" s="1"/>
  <c r="D15" i="5" s="1"/>
  <c r="S32" i="5"/>
  <c r="T32" i="5" s="1"/>
  <c r="C32" i="5"/>
  <c r="D83" i="5"/>
  <c r="U16" i="5" l="1"/>
  <c r="AD16" i="5" s="1"/>
  <c r="AM16" i="5" s="1"/>
  <c r="D16" i="5" s="1"/>
  <c r="S33" i="5"/>
  <c r="T33" i="5" s="1"/>
  <c r="C33" i="5"/>
  <c r="D84" i="5"/>
  <c r="U17" i="5" l="1"/>
  <c r="AD17" i="5" s="1"/>
  <c r="AM17" i="5" s="1"/>
  <c r="D17" i="5" s="1"/>
  <c r="S34" i="5"/>
  <c r="T34" i="5" s="1"/>
  <c r="C34" i="5"/>
  <c r="D85" i="5"/>
  <c r="U18" i="5" l="1"/>
  <c r="AD18" i="5" s="1"/>
  <c r="AM18" i="5" s="1"/>
  <c r="D18" i="5" s="1"/>
  <c r="S35" i="5"/>
  <c r="T35" i="5" s="1"/>
  <c r="C35" i="5"/>
  <c r="D86" i="5"/>
  <c r="U19" i="5" l="1"/>
  <c r="AD19" i="5" s="1"/>
  <c r="AM19" i="5" s="1"/>
  <c r="D19" i="5" s="1"/>
  <c r="S36" i="5"/>
  <c r="T36" i="5" s="1"/>
  <c r="C36" i="5"/>
  <c r="D87" i="5"/>
  <c r="U20" i="5" l="1"/>
  <c r="AD20" i="5" s="1"/>
  <c r="AM20" i="5" s="1"/>
  <c r="D20" i="5" s="1"/>
  <c r="S37" i="5"/>
  <c r="T37" i="5" s="1"/>
  <c r="C37" i="5"/>
  <c r="D88" i="5"/>
  <c r="U21" i="5" l="1"/>
  <c r="AD21" i="5" s="1"/>
  <c r="AM21" i="5" s="1"/>
  <c r="D21" i="5" s="1"/>
  <c r="S38" i="5"/>
  <c r="T38" i="5" s="1"/>
  <c r="C38" i="5"/>
  <c r="D89" i="5"/>
  <c r="U22" i="5" l="1"/>
  <c r="AD22" i="5" s="1"/>
  <c r="AM22" i="5" s="1"/>
  <c r="D22" i="5" s="1"/>
  <c r="S39" i="5"/>
  <c r="T39" i="5" s="1"/>
  <c r="C39" i="5"/>
  <c r="D90" i="5"/>
  <c r="U23" i="5" l="1"/>
  <c r="AD23" i="5" s="1"/>
  <c r="AM23" i="5" s="1"/>
  <c r="D23" i="5" s="1"/>
  <c r="S40" i="5"/>
  <c r="T40" i="5" s="1"/>
  <c r="C40" i="5"/>
  <c r="D91" i="5"/>
  <c r="U24" i="5" l="1"/>
  <c r="AD24" i="5" s="1"/>
  <c r="AM24" i="5" s="1"/>
  <c r="D24" i="5" s="1"/>
  <c r="S41" i="5"/>
  <c r="T41" i="5" s="1"/>
  <c r="C41" i="5"/>
  <c r="D92" i="5"/>
  <c r="U25" i="5" l="1"/>
  <c r="AD25" i="5" s="1"/>
  <c r="AM25" i="5" s="1"/>
  <c r="D25" i="5" s="1"/>
  <c r="S42" i="5"/>
  <c r="T42" i="5" s="1"/>
  <c r="C42" i="5"/>
  <c r="D93" i="5"/>
  <c r="U26" i="5" l="1"/>
  <c r="AD26" i="5" s="1"/>
  <c r="AM26" i="5" s="1"/>
  <c r="D26" i="5" s="1"/>
  <c r="S43" i="5"/>
  <c r="T43" i="5" s="1"/>
  <c r="D94" i="5"/>
  <c r="U27" i="5" l="1"/>
  <c r="AD27" i="5" s="1"/>
  <c r="AM27" i="5" s="1"/>
  <c r="D27" i="5" s="1"/>
  <c r="S44" i="5"/>
  <c r="T44" i="5" s="1"/>
  <c r="D95" i="5"/>
  <c r="U28" i="5" l="1"/>
  <c r="AD28" i="5" s="1"/>
  <c r="AM28" i="5" s="1"/>
  <c r="D28" i="5" s="1"/>
  <c r="S45" i="5"/>
  <c r="T45" i="5" s="1"/>
  <c r="D96" i="5"/>
  <c r="U29" i="5" l="1"/>
  <c r="AD29" i="5" s="1"/>
  <c r="AM29" i="5" s="1"/>
  <c r="D29" i="5" s="1"/>
  <c r="S46" i="5"/>
  <c r="T46" i="5" s="1"/>
  <c r="D97" i="5"/>
  <c r="U30" i="5" l="1"/>
  <c r="AD30" i="5" s="1"/>
  <c r="AM30" i="5" s="1"/>
  <c r="D30" i="5" s="1"/>
  <c r="S47" i="5"/>
  <c r="T47" i="5" s="1"/>
  <c r="D98" i="5"/>
  <c r="U31" i="5" l="1"/>
  <c r="AD31" i="5" s="1"/>
  <c r="AM31" i="5" s="1"/>
  <c r="D31" i="5" s="1"/>
  <c r="S48" i="5"/>
  <c r="T48" i="5" s="1"/>
  <c r="D99" i="5"/>
  <c r="U32" i="5" l="1"/>
  <c r="AD32" i="5" s="1"/>
  <c r="AM32" i="5" s="1"/>
  <c r="D32" i="5" s="1"/>
  <c r="S49" i="5"/>
  <c r="T49" i="5" s="1"/>
  <c r="D100" i="5"/>
  <c r="U33" i="5" l="1"/>
  <c r="AD33" i="5" s="1"/>
  <c r="AM33" i="5" s="1"/>
  <c r="D33" i="5" s="1"/>
  <c r="S50" i="5"/>
  <c r="T50" i="5" s="1"/>
  <c r="D101" i="5"/>
  <c r="U34" i="5" l="1"/>
  <c r="AD34" i="5" s="1"/>
  <c r="AM34" i="5" s="1"/>
  <c r="D34" i="5" s="1"/>
  <c r="S51" i="5"/>
  <c r="T51" i="5" s="1"/>
  <c r="D102" i="5"/>
  <c r="U35" i="5" l="1"/>
  <c r="AD35" i="5" s="1"/>
  <c r="AM35" i="5" s="1"/>
  <c r="D35" i="5" s="1"/>
  <c r="D103" i="5"/>
  <c r="U36" i="5" l="1"/>
  <c r="AD36" i="5" s="1"/>
  <c r="AM36" i="5" s="1"/>
  <c r="D36" i="5" s="1"/>
  <c r="D104" i="5"/>
  <c r="U37" i="5" l="1"/>
  <c r="AD37" i="5" s="1"/>
  <c r="AM37" i="5" s="1"/>
  <c r="D37" i="5" s="1"/>
  <c r="S54" i="5"/>
  <c r="T54" i="5" s="1"/>
  <c r="D105" i="5"/>
  <c r="U38" i="5" l="1"/>
  <c r="AD38" i="5" s="1"/>
  <c r="AM38" i="5" s="1"/>
  <c r="D38" i="5" s="1"/>
  <c r="S55" i="5"/>
  <c r="T55" i="5" s="1"/>
  <c r="D106" i="5"/>
  <c r="U39" i="5" l="1"/>
  <c r="AD39" i="5" s="1"/>
  <c r="AM39" i="5" s="1"/>
  <c r="D39" i="5" s="1"/>
  <c r="S56" i="5"/>
  <c r="T56" i="5" s="1"/>
  <c r="D107" i="5"/>
  <c r="U40" i="5" l="1"/>
  <c r="AD40" i="5" s="1"/>
  <c r="AM40" i="5" s="1"/>
  <c r="D40" i="5" s="1"/>
  <c r="S57" i="5"/>
  <c r="T57" i="5" s="1"/>
  <c r="D108" i="5"/>
  <c r="U41" i="5" l="1"/>
  <c r="AD41" i="5" s="1"/>
  <c r="AM41" i="5" s="1"/>
  <c r="D41" i="5" s="1"/>
  <c r="S58" i="5"/>
  <c r="T58" i="5" s="1"/>
  <c r="D109" i="5"/>
  <c r="U42" i="5" l="1"/>
  <c r="AD42" i="5" s="1"/>
  <c r="S59" i="5"/>
  <c r="T59" i="5" s="1"/>
  <c r="AM42" i="5" l="1"/>
  <c r="D42" i="5" s="1"/>
  <c r="S60" i="5"/>
  <c r="T60" i="5" s="1"/>
  <c r="D111" i="5"/>
  <c r="D110" i="5"/>
  <c r="U43" i="5" l="1"/>
  <c r="AD43" i="5" s="1"/>
  <c r="AM43" i="5" s="1"/>
  <c r="U44" i="5"/>
  <c r="AD44" i="5" s="1"/>
  <c r="AM44" i="5" s="1"/>
  <c r="S61" i="5"/>
  <c r="T61" i="5" s="1"/>
  <c r="D112" i="5"/>
  <c r="U45" i="5" l="1"/>
  <c r="AD45" i="5" s="1"/>
  <c r="AM45" i="5" s="1"/>
  <c r="S62" i="5"/>
  <c r="T62" i="5" s="1"/>
  <c r="D113" i="5"/>
  <c r="D115" i="5"/>
  <c r="U46" i="5" l="1"/>
  <c r="AD46" i="5" s="1"/>
  <c r="AM46" i="5" s="1"/>
  <c r="S63" i="5"/>
  <c r="T63" i="5" s="1"/>
  <c r="U48" i="5"/>
  <c r="AD48" i="5" s="1"/>
  <c r="AM48" i="5" s="1"/>
  <c r="D114" i="5"/>
  <c r="D116" i="5"/>
  <c r="U47" i="5" l="1"/>
  <c r="AD47" i="5" s="1"/>
  <c r="AM47" i="5" s="1"/>
  <c r="S64" i="5"/>
  <c r="T64" i="5" s="1"/>
  <c r="U49" i="5"/>
  <c r="AD49" i="5" s="1"/>
  <c r="AM49" i="5" s="1"/>
  <c r="D117" i="5"/>
  <c r="S65" i="5" l="1"/>
  <c r="T65" i="5" s="1"/>
  <c r="U50" i="5"/>
  <c r="AD50" i="5" s="1"/>
  <c r="AM50" i="5" s="1"/>
  <c r="D118" i="5"/>
  <c r="U51" i="5" l="1"/>
  <c r="AD51" i="5" s="1"/>
  <c r="AM51" i="5" s="1"/>
  <c r="D119" i="5"/>
  <c r="U52" i="5" l="1"/>
  <c r="AD52" i="5" s="1"/>
  <c r="AM52" i="5" s="1"/>
  <c r="Z6" i="5"/>
  <c r="AI6" i="5" s="1"/>
  <c r="AR6" i="5" s="1"/>
  <c r="I6" i="5" s="1"/>
  <c r="X6" i="5"/>
  <c r="AG6" i="5" s="1"/>
  <c r="AP6" i="5" s="1"/>
  <c r="G6" i="5" s="1"/>
  <c r="AC6" i="5"/>
  <c r="AL6" i="5" s="1"/>
  <c r="AU6" i="5" s="1"/>
  <c r="L6" i="5" s="1"/>
  <c r="Y6" i="5"/>
  <c r="AH6" i="5" s="1"/>
  <c r="AQ6" i="5" s="1"/>
  <c r="H6" i="5" s="1"/>
  <c r="W6" i="5"/>
  <c r="AF6" i="5" s="1"/>
  <c r="AO6" i="5" s="1"/>
  <c r="F6" i="5" s="1"/>
  <c r="AB6" i="5"/>
  <c r="AK6" i="5" s="1"/>
  <c r="AT6" i="5" s="1"/>
  <c r="AA6" i="5"/>
  <c r="AJ6" i="5" s="1"/>
  <c r="AS6" i="5" s="1"/>
  <c r="J6" i="5" s="1"/>
  <c r="V6" i="5"/>
  <c r="AE6" i="5" s="1"/>
  <c r="AN6" i="5" s="1"/>
  <c r="E6" i="5" s="1"/>
  <c r="E74" i="5"/>
  <c r="F74" i="5"/>
  <c r="G74" i="5"/>
  <c r="H74" i="5"/>
  <c r="I74" i="5"/>
  <c r="J74" i="5"/>
  <c r="K74" i="5"/>
  <c r="D120" i="5"/>
  <c r="L74" i="5"/>
  <c r="U53" i="5" l="1"/>
  <c r="AB7" i="5"/>
  <c r="AK7" i="5" s="1"/>
  <c r="AT7" i="5" s="1"/>
  <c r="W7" i="5"/>
  <c r="AF7" i="5" s="1"/>
  <c r="AO7" i="5" s="1"/>
  <c r="F7" i="5" s="1"/>
  <c r="X7" i="5"/>
  <c r="AG7" i="5" s="1"/>
  <c r="AP7" i="5" s="1"/>
  <c r="G7" i="5" s="1"/>
  <c r="AA7" i="5"/>
  <c r="AJ7" i="5" s="1"/>
  <c r="AS7" i="5" s="1"/>
  <c r="J7" i="5" s="1"/>
  <c r="Y7" i="5"/>
  <c r="AH7" i="5" s="1"/>
  <c r="AQ7" i="5" s="1"/>
  <c r="H7" i="5" s="1"/>
  <c r="Z7" i="5"/>
  <c r="AI7" i="5" s="1"/>
  <c r="AR7" i="5" s="1"/>
  <c r="I7" i="5" s="1"/>
  <c r="V7" i="5"/>
  <c r="AE7" i="5" s="1"/>
  <c r="AN7" i="5" s="1"/>
  <c r="E7" i="5" s="1"/>
  <c r="AC7" i="5"/>
  <c r="AL7" i="5" s="1"/>
  <c r="AU7" i="5" s="1"/>
  <c r="L7" i="5" s="1"/>
  <c r="AD53" i="5"/>
  <c r="AM53" i="5" s="1"/>
  <c r="L75" i="5"/>
  <c r="E75" i="5"/>
  <c r="F75" i="5"/>
  <c r="I75" i="5"/>
  <c r="G75" i="5"/>
  <c r="H75" i="5"/>
  <c r="J75" i="5"/>
  <c r="D121" i="5"/>
  <c r="K75" i="5"/>
  <c r="V8" i="5" l="1"/>
  <c r="AE8" i="5" s="1"/>
  <c r="AN8" i="5" s="1"/>
  <c r="AC8" i="5"/>
  <c r="AL8" i="5" s="1"/>
  <c r="AU8" i="5" s="1"/>
  <c r="X8" i="5"/>
  <c r="AG8" i="5" s="1"/>
  <c r="AP8" i="5" s="1"/>
  <c r="G8" i="5" s="1"/>
  <c r="Z8" i="5"/>
  <c r="AI8" i="5" s="1"/>
  <c r="AR8" i="5" s="1"/>
  <c r="I8" i="5" s="1"/>
  <c r="AA8" i="5"/>
  <c r="AJ8" i="5" s="1"/>
  <c r="AS8" i="5" s="1"/>
  <c r="J8" i="5" s="1"/>
  <c r="W8" i="5"/>
  <c r="AF8" i="5" s="1"/>
  <c r="AO8" i="5" s="1"/>
  <c r="F8" i="5" s="1"/>
  <c r="U54" i="5"/>
  <c r="AD54" i="5" s="1"/>
  <c r="AM54" i="5" s="1"/>
  <c r="Y8" i="5"/>
  <c r="AH8" i="5" s="1"/>
  <c r="AQ8" i="5" s="1"/>
  <c r="H8" i="5" s="1"/>
  <c r="AB8" i="5"/>
  <c r="AK8" i="5" s="1"/>
  <c r="AT8" i="5" s="1"/>
  <c r="E8" i="5"/>
  <c r="L8" i="5"/>
  <c r="D122" i="5"/>
  <c r="E76" i="5"/>
  <c r="F76" i="5"/>
  <c r="J76" i="5"/>
  <c r="L76" i="5"/>
  <c r="G76" i="5"/>
  <c r="K76" i="5"/>
  <c r="H76" i="5"/>
  <c r="I76" i="5"/>
  <c r="Y9" i="5" l="1"/>
  <c r="AH9" i="5" s="1"/>
  <c r="AQ9" i="5" s="1"/>
  <c r="H9" i="5" s="1"/>
  <c r="X9" i="5"/>
  <c r="AG9" i="5" s="1"/>
  <c r="AP9" i="5" s="1"/>
  <c r="U55" i="5"/>
  <c r="AD55" i="5" s="1"/>
  <c r="AM55" i="5" s="1"/>
  <c r="W9" i="5"/>
  <c r="AF9" i="5" s="1"/>
  <c r="AO9" i="5" s="1"/>
  <c r="F9" i="5" s="1"/>
  <c r="Z9" i="5"/>
  <c r="AI9" i="5" s="1"/>
  <c r="AR9" i="5" s="1"/>
  <c r="I9" i="5" s="1"/>
  <c r="AC9" i="5"/>
  <c r="AL9" i="5" s="1"/>
  <c r="AU9" i="5" s="1"/>
  <c r="L9" i="5" s="1"/>
  <c r="AB9" i="5"/>
  <c r="AK9" i="5" s="1"/>
  <c r="AT9" i="5" s="1"/>
  <c r="AA9" i="5"/>
  <c r="AJ9" i="5" s="1"/>
  <c r="AS9" i="5" s="1"/>
  <c r="J9" i="5" s="1"/>
  <c r="V9" i="5"/>
  <c r="AE9" i="5" s="1"/>
  <c r="AN9" i="5" s="1"/>
  <c r="E9" i="5" s="1"/>
  <c r="G9" i="5"/>
  <c r="L77" i="5"/>
  <c r="F77" i="5"/>
  <c r="G77" i="5"/>
  <c r="H77" i="5"/>
  <c r="E77" i="5"/>
  <c r="I77" i="5"/>
  <c r="J77" i="5"/>
  <c r="K77" i="5"/>
  <c r="D123" i="5"/>
  <c r="AA10" i="5" l="1"/>
  <c r="AJ10" i="5" s="1"/>
  <c r="AS10" i="5" s="1"/>
  <c r="V10" i="5"/>
  <c r="AE10" i="5" s="1"/>
  <c r="AN10" i="5" s="1"/>
  <c r="Z10" i="5"/>
  <c r="AI10" i="5" s="1"/>
  <c r="AR10" i="5" s="1"/>
  <c r="I10" i="5" s="1"/>
  <c r="U56" i="5"/>
  <c r="AD56" i="5" s="1"/>
  <c r="AM56" i="5" s="1"/>
  <c r="AB10" i="5"/>
  <c r="AK10" i="5" s="1"/>
  <c r="AT10" i="5" s="1"/>
  <c r="X10" i="5"/>
  <c r="AG10" i="5" s="1"/>
  <c r="AP10" i="5" s="1"/>
  <c r="G10" i="5" s="1"/>
  <c r="AC10" i="5"/>
  <c r="AL10" i="5" s="1"/>
  <c r="AU10" i="5" s="1"/>
  <c r="L10" i="5" s="1"/>
  <c r="W10" i="5"/>
  <c r="AF10" i="5" s="1"/>
  <c r="AO10" i="5" s="1"/>
  <c r="F10" i="5" s="1"/>
  <c r="Y10" i="5"/>
  <c r="AH10" i="5" s="1"/>
  <c r="AQ10" i="5" s="1"/>
  <c r="H10" i="5" s="1"/>
  <c r="J10" i="5"/>
  <c r="E10" i="5"/>
  <c r="D124" i="5"/>
  <c r="L78" i="5"/>
  <c r="E78" i="5"/>
  <c r="F78" i="5"/>
  <c r="G78" i="5"/>
  <c r="H78" i="5"/>
  <c r="K78" i="5"/>
  <c r="I78" i="5"/>
  <c r="J78" i="5"/>
  <c r="X11" i="5" l="1"/>
  <c r="AG11" i="5" s="1"/>
  <c r="AP11" i="5" s="1"/>
  <c r="AB11" i="5"/>
  <c r="AK11" i="5" s="1"/>
  <c r="AT11" i="5" s="1"/>
  <c r="U57" i="5"/>
  <c r="AD57" i="5" s="1"/>
  <c r="AM57" i="5" s="1"/>
  <c r="W11" i="5"/>
  <c r="AF11" i="5" s="1"/>
  <c r="AO11" i="5" s="1"/>
  <c r="F11" i="5" s="1"/>
  <c r="Z11" i="5"/>
  <c r="AI11" i="5" s="1"/>
  <c r="AR11" i="5" s="1"/>
  <c r="I11" i="5" s="1"/>
  <c r="AC11" i="5"/>
  <c r="AL11" i="5" s="1"/>
  <c r="AU11" i="5" s="1"/>
  <c r="L11" i="5" s="1"/>
  <c r="V11" i="5"/>
  <c r="AE11" i="5" s="1"/>
  <c r="AN11" i="5" s="1"/>
  <c r="E11" i="5" s="1"/>
  <c r="Y11" i="5"/>
  <c r="AH11" i="5" s="1"/>
  <c r="AQ11" i="5" s="1"/>
  <c r="H11" i="5" s="1"/>
  <c r="AA11" i="5"/>
  <c r="AJ11" i="5" s="1"/>
  <c r="AS11" i="5" s="1"/>
  <c r="J11" i="5" s="1"/>
  <c r="G11" i="5"/>
  <c r="L79" i="5"/>
  <c r="G79" i="5"/>
  <c r="I79" i="5"/>
  <c r="J79" i="5"/>
  <c r="E79" i="5"/>
  <c r="F79" i="5"/>
  <c r="H79" i="5"/>
  <c r="K79" i="5"/>
  <c r="D125" i="5"/>
  <c r="Z12" i="5" l="1"/>
  <c r="AI12" i="5" s="1"/>
  <c r="AR12" i="5" s="1"/>
  <c r="AA12" i="5"/>
  <c r="AJ12" i="5" s="1"/>
  <c r="AS12" i="5" s="1"/>
  <c r="W12" i="5"/>
  <c r="AF12" i="5" s="1"/>
  <c r="AO12" i="5" s="1"/>
  <c r="V12" i="5"/>
  <c r="AE12" i="5" s="1"/>
  <c r="AN12" i="5" s="1"/>
  <c r="E12" i="5" s="1"/>
  <c r="U58" i="5"/>
  <c r="AD58" i="5" s="1"/>
  <c r="AM58" i="5" s="1"/>
  <c r="Y12" i="5"/>
  <c r="AH12" i="5" s="1"/>
  <c r="AQ12" i="5" s="1"/>
  <c r="H12" i="5" s="1"/>
  <c r="AB12" i="5"/>
  <c r="AK12" i="5" s="1"/>
  <c r="AT12" i="5" s="1"/>
  <c r="AC12" i="5"/>
  <c r="AL12" i="5" s="1"/>
  <c r="AU12" i="5" s="1"/>
  <c r="L12" i="5" s="1"/>
  <c r="X12" i="5"/>
  <c r="AG12" i="5" s="1"/>
  <c r="AP12" i="5" s="1"/>
  <c r="G12" i="5" s="1"/>
  <c r="I12" i="5"/>
  <c r="J12" i="5"/>
  <c r="F12" i="5"/>
  <c r="K80" i="5"/>
  <c r="D126" i="5"/>
  <c r="E80" i="5"/>
  <c r="L80" i="5"/>
  <c r="F80" i="5"/>
  <c r="J80" i="5"/>
  <c r="G80" i="5"/>
  <c r="H80" i="5"/>
  <c r="I80" i="5"/>
  <c r="U59" i="5" l="1"/>
  <c r="AD59" i="5" s="1"/>
  <c r="AM59" i="5" s="1"/>
  <c r="Y13" i="5"/>
  <c r="AH13" i="5" s="1"/>
  <c r="AQ13" i="5" s="1"/>
  <c r="V13" i="5"/>
  <c r="AE13" i="5" s="1"/>
  <c r="AN13" i="5" s="1"/>
  <c r="E13" i="5" s="1"/>
  <c r="X13" i="5"/>
  <c r="AG13" i="5" s="1"/>
  <c r="AP13" i="5" s="1"/>
  <c r="G13" i="5" s="1"/>
  <c r="W13" i="5"/>
  <c r="AF13" i="5" s="1"/>
  <c r="AO13" i="5" s="1"/>
  <c r="F13" i="5" s="1"/>
  <c r="AB13" i="5"/>
  <c r="AK13" i="5" s="1"/>
  <c r="AT13" i="5" s="1"/>
  <c r="AA13" i="5"/>
  <c r="AJ13" i="5" s="1"/>
  <c r="AS13" i="5" s="1"/>
  <c r="J13" i="5" s="1"/>
  <c r="AC13" i="5"/>
  <c r="AL13" i="5" s="1"/>
  <c r="AU13" i="5" s="1"/>
  <c r="L13" i="5" s="1"/>
  <c r="Z13" i="5"/>
  <c r="AI13" i="5" s="1"/>
  <c r="AR13" i="5" s="1"/>
  <c r="I13" i="5" s="1"/>
  <c r="H13" i="5"/>
  <c r="L81" i="5"/>
  <c r="F81" i="5"/>
  <c r="H81" i="5"/>
  <c r="I81" i="5"/>
  <c r="E81" i="5"/>
  <c r="G81" i="5"/>
  <c r="K81" i="5"/>
  <c r="J81" i="5"/>
  <c r="D127" i="5"/>
  <c r="Z14" i="5" l="1"/>
  <c r="AI14" i="5" s="1"/>
  <c r="AR14" i="5" s="1"/>
  <c r="I14" i="5" s="1"/>
  <c r="AB14" i="5"/>
  <c r="AK14" i="5" s="1"/>
  <c r="AT14" i="5" s="1"/>
  <c r="W14" i="5"/>
  <c r="AF14" i="5" s="1"/>
  <c r="AO14" i="5" s="1"/>
  <c r="F14" i="5" s="1"/>
  <c r="X14" i="5"/>
  <c r="AG14" i="5" s="1"/>
  <c r="AP14" i="5" s="1"/>
  <c r="G14" i="5" s="1"/>
  <c r="V14" i="5"/>
  <c r="AE14" i="5" s="1"/>
  <c r="AN14" i="5" s="1"/>
  <c r="E14" i="5" s="1"/>
  <c r="AC14" i="5"/>
  <c r="AL14" i="5" s="1"/>
  <c r="AU14" i="5" s="1"/>
  <c r="L14" i="5" s="1"/>
  <c r="Y14" i="5"/>
  <c r="AH14" i="5" s="1"/>
  <c r="AQ14" i="5" s="1"/>
  <c r="H14" i="5" s="1"/>
  <c r="AA14" i="5"/>
  <c r="AJ14" i="5" s="1"/>
  <c r="AS14" i="5" s="1"/>
  <c r="J14" i="5" s="1"/>
  <c r="U60" i="5"/>
  <c r="AD60" i="5" s="1"/>
  <c r="AM60" i="5" s="1"/>
  <c r="E82" i="5"/>
  <c r="F82" i="5"/>
  <c r="G82" i="5"/>
  <c r="D128" i="5"/>
  <c r="H82" i="5"/>
  <c r="I82" i="5"/>
  <c r="J82" i="5"/>
  <c r="K82" i="5"/>
  <c r="L82" i="5"/>
  <c r="AA15" i="5" l="1"/>
  <c r="AJ15" i="5" s="1"/>
  <c r="AS15" i="5" s="1"/>
  <c r="J15" i="5" s="1"/>
  <c r="Y15" i="5"/>
  <c r="AH15" i="5" s="1"/>
  <c r="AQ15" i="5" s="1"/>
  <c r="H15" i="5" s="1"/>
  <c r="AC15" i="5"/>
  <c r="AL15" i="5" s="1"/>
  <c r="AU15" i="5" s="1"/>
  <c r="L15" i="5" s="1"/>
  <c r="V15" i="5"/>
  <c r="AE15" i="5" s="1"/>
  <c r="AN15" i="5" s="1"/>
  <c r="E15" i="5" s="1"/>
  <c r="X15" i="5"/>
  <c r="AG15" i="5" s="1"/>
  <c r="AP15" i="5" s="1"/>
  <c r="G15" i="5" s="1"/>
  <c r="W15" i="5"/>
  <c r="AF15" i="5" s="1"/>
  <c r="AO15" i="5" s="1"/>
  <c r="F15" i="5" s="1"/>
  <c r="AB15" i="5"/>
  <c r="AK15" i="5" s="1"/>
  <c r="AT15" i="5" s="1"/>
  <c r="Z15" i="5"/>
  <c r="AI15" i="5" s="1"/>
  <c r="AR15" i="5" s="1"/>
  <c r="I15" i="5" s="1"/>
  <c r="U61" i="5"/>
  <c r="AD61" i="5" s="1"/>
  <c r="AM61" i="5" s="1"/>
  <c r="E83" i="5"/>
  <c r="F83" i="5"/>
  <c r="G83" i="5"/>
  <c r="H83" i="5"/>
  <c r="I83" i="5"/>
  <c r="J83" i="5"/>
  <c r="K83" i="5"/>
  <c r="L83" i="5"/>
  <c r="D129" i="5"/>
  <c r="Z16" i="5" l="1"/>
  <c r="AI16" i="5" s="1"/>
  <c r="AR16" i="5" s="1"/>
  <c r="I16" i="5" s="1"/>
  <c r="AB16" i="5"/>
  <c r="AK16" i="5" s="1"/>
  <c r="AT16" i="5" s="1"/>
  <c r="W16" i="5"/>
  <c r="AF16" i="5" s="1"/>
  <c r="AO16" i="5" s="1"/>
  <c r="F16" i="5" s="1"/>
  <c r="X16" i="5"/>
  <c r="AG16" i="5" s="1"/>
  <c r="AP16" i="5" s="1"/>
  <c r="G16" i="5" s="1"/>
  <c r="V16" i="5"/>
  <c r="AE16" i="5" s="1"/>
  <c r="AN16" i="5" s="1"/>
  <c r="E16" i="5" s="1"/>
  <c r="AC16" i="5"/>
  <c r="AL16" i="5" s="1"/>
  <c r="AU16" i="5" s="1"/>
  <c r="L16" i="5" s="1"/>
  <c r="Y16" i="5"/>
  <c r="AH16" i="5" s="1"/>
  <c r="AQ16" i="5" s="1"/>
  <c r="H16" i="5" s="1"/>
  <c r="AA16" i="5"/>
  <c r="AJ16" i="5" s="1"/>
  <c r="AS16" i="5" s="1"/>
  <c r="J16" i="5" s="1"/>
  <c r="U62" i="5"/>
  <c r="AD62" i="5" s="1"/>
  <c r="AM62" i="5" s="1"/>
  <c r="E84" i="5"/>
  <c r="F84" i="5"/>
  <c r="G84" i="5"/>
  <c r="D130" i="5"/>
  <c r="H84" i="5"/>
  <c r="I84" i="5"/>
  <c r="L84" i="5"/>
  <c r="J84" i="5"/>
  <c r="K84" i="5"/>
  <c r="AA17" i="5" l="1"/>
  <c r="AJ17" i="5" s="1"/>
  <c r="AS17" i="5" s="1"/>
  <c r="Y17" i="5"/>
  <c r="AH17" i="5" s="1"/>
  <c r="AQ17" i="5" s="1"/>
  <c r="AC17" i="5"/>
  <c r="AL17" i="5" s="1"/>
  <c r="AU17" i="5" s="1"/>
  <c r="L17" i="5" s="1"/>
  <c r="V17" i="5"/>
  <c r="AE17" i="5" s="1"/>
  <c r="AN17" i="5" s="1"/>
  <c r="E17" i="5" s="1"/>
  <c r="X17" i="5"/>
  <c r="AG17" i="5" s="1"/>
  <c r="AP17" i="5" s="1"/>
  <c r="G17" i="5" s="1"/>
  <c r="W17" i="5"/>
  <c r="AF17" i="5" s="1"/>
  <c r="AO17" i="5" s="1"/>
  <c r="F17" i="5" s="1"/>
  <c r="AB17" i="5"/>
  <c r="AK17" i="5" s="1"/>
  <c r="AT17" i="5" s="1"/>
  <c r="Z17" i="5"/>
  <c r="AI17" i="5" s="1"/>
  <c r="AR17" i="5" s="1"/>
  <c r="I17" i="5" s="1"/>
  <c r="U63" i="5"/>
  <c r="AD63" i="5" s="1"/>
  <c r="AM63" i="5" s="1"/>
  <c r="J17" i="5"/>
  <c r="H17" i="5"/>
  <c r="D131" i="5"/>
  <c r="L85" i="5"/>
  <c r="E85" i="5"/>
  <c r="F85" i="5"/>
  <c r="G85" i="5"/>
  <c r="K85" i="5"/>
  <c r="H85" i="5"/>
  <c r="I85" i="5"/>
  <c r="J85" i="5"/>
  <c r="X18" i="5" l="1"/>
  <c r="AG18" i="5" s="1"/>
  <c r="AP18" i="5" s="1"/>
  <c r="Z18" i="5"/>
  <c r="AI18" i="5" s="1"/>
  <c r="AR18" i="5" s="1"/>
  <c r="AB18" i="5"/>
  <c r="AK18" i="5" s="1"/>
  <c r="AT18" i="5" s="1"/>
  <c r="W18" i="5"/>
  <c r="AF18" i="5" s="1"/>
  <c r="AO18" i="5" s="1"/>
  <c r="F18" i="5" s="1"/>
  <c r="V18" i="5"/>
  <c r="AE18" i="5" s="1"/>
  <c r="AN18" i="5" s="1"/>
  <c r="E18" i="5" s="1"/>
  <c r="AC18" i="5"/>
  <c r="AL18" i="5" s="1"/>
  <c r="AU18" i="5" s="1"/>
  <c r="L18" i="5" s="1"/>
  <c r="Y18" i="5"/>
  <c r="AH18" i="5" s="1"/>
  <c r="AQ18" i="5" s="1"/>
  <c r="H18" i="5" s="1"/>
  <c r="AA18" i="5"/>
  <c r="AJ18" i="5" s="1"/>
  <c r="AS18" i="5" s="1"/>
  <c r="J18" i="5" s="1"/>
  <c r="U64" i="5"/>
  <c r="AD64" i="5" s="1"/>
  <c r="AM64" i="5" s="1"/>
  <c r="G18" i="5"/>
  <c r="I18" i="5"/>
  <c r="D132" i="5"/>
  <c r="L86" i="5"/>
  <c r="E86" i="5"/>
  <c r="F86" i="5"/>
  <c r="G86" i="5"/>
  <c r="H86" i="5"/>
  <c r="I86" i="5"/>
  <c r="J86" i="5"/>
  <c r="K86" i="5"/>
  <c r="AA19" i="5" l="1"/>
  <c r="AJ19" i="5" s="1"/>
  <c r="AS19" i="5" s="1"/>
  <c r="Y19" i="5"/>
  <c r="AH19" i="5" s="1"/>
  <c r="AQ19" i="5" s="1"/>
  <c r="H19" i="5" s="1"/>
  <c r="AC19" i="5"/>
  <c r="AL19" i="5" s="1"/>
  <c r="AU19" i="5" s="1"/>
  <c r="L19" i="5" s="1"/>
  <c r="V19" i="5"/>
  <c r="AE19" i="5" s="1"/>
  <c r="AN19" i="5" s="1"/>
  <c r="E19" i="5" s="1"/>
  <c r="W19" i="5"/>
  <c r="AF19" i="5" s="1"/>
  <c r="AO19" i="5" s="1"/>
  <c r="F19" i="5" s="1"/>
  <c r="AB19" i="5"/>
  <c r="AK19" i="5" s="1"/>
  <c r="AT19" i="5" s="1"/>
  <c r="Z19" i="5"/>
  <c r="AI19" i="5" s="1"/>
  <c r="AR19" i="5" s="1"/>
  <c r="I19" i="5" s="1"/>
  <c r="X19" i="5"/>
  <c r="AG19" i="5" s="1"/>
  <c r="AP19" i="5" s="1"/>
  <c r="G19" i="5" s="1"/>
  <c r="U65" i="5"/>
  <c r="AD65" i="5" s="1"/>
  <c r="AM65" i="5" s="1"/>
  <c r="J19" i="5"/>
  <c r="E87" i="5"/>
  <c r="F87" i="5"/>
  <c r="G87" i="5"/>
  <c r="H87" i="5"/>
  <c r="I87" i="5"/>
  <c r="L87" i="5"/>
  <c r="J87" i="5"/>
  <c r="K87" i="5"/>
  <c r="X20" i="5" l="1"/>
  <c r="AG20" i="5" s="1"/>
  <c r="AP20" i="5" s="1"/>
  <c r="G20" i="5" s="1"/>
  <c r="Z20" i="5"/>
  <c r="AI20" i="5" s="1"/>
  <c r="AR20" i="5" s="1"/>
  <c r="I20" i="5" s="1"/>
  <c r="AB20" i="5"/>
  <c r="AK20" i="5" s="1"/>
  <c r="AT20" i="5" s="1"/>
  <c r="W20" i="5"/>
  <c r="AF20" i="5" s="1"/>
  <c r="AO20" i="5" s="1"/>
  <c r="F20" i="5" s="1"/>
  <c r="V20" i="5"/>
  <c r="AE20" i="5" s="1"/>
  <c r="AN20" i="5" s="1"/>
  <c r="E20" i="5" s="1"/>
  <c r="AC20" i="5"/>
  <c r="AL20" i="5" s="1"/>
  <c r="AU20" i="5" s="1"/>
  <c r="L20" i="5" s="1"/>
  <c r="Y20" i="5"/>
  <c r="AH20" i="5" s="1"/>
  <c r="AQ20" i="5" s="1"/>
  <c r="H20" i="5" s="1"/>
  <c r="AA20" i="5"/>
  <c r="AJ20" i="5" s="1"/>
  <c r="AS20" i="5" s="1"/>
  <c r="J20" i="5" s="1"/>
  <c r="G88" i="5"/>
  <c r="H88" i="5"/>
  <c r="I88" i="5"/>
  <c r="J88" i="5"/>
  <c r="F88" i="5"/>
  <c r="E88" i="5"/>
  <c r="K88" i="5"/>
  <c r="L88" i="5"/>
  <c r="Y21" i="5" l="1"/>
  <c r="AH21" i="5" s="1"/>
  <c r="AQ21" i="5" s="1"/>
  <c r="H21" i="5" s="1"/>
  <c r="V21" i="5"/>
  <c r="AE21" i="5" s="1"/>
  <c r="AN21" i="5" s="1"/>
  <c r="E21" i="5" s="1"/>
  <c r="AB21" i="5"/>
  <c r="AK21" i="5" s="1"/>
  <c r="AT21" i="5" s="1"/>
  <c r="AA21" i="5"/>
  <c r="AJ21" i="5" s="1"/>
  <c r="AS21" i="5" s="1"/>
  <c r="J21" i="5" s="1"/>
  <c r="AC21" i="5"/>
  <c r="AL21" i="5" s="1"/>
  <c r="AU21" i="5" s="1"/>
  <c r="L21" i="5" s="1"/>
  <c r="Z21" i="5"/>
  <c r="AI21" i="5" s="1"/>
  <c r="AR21" i="5" s="1"/>
  <c r="I21" i="5" s="1"/>
  <c r="W21" i="5"/>
  <c r="AF21" i="5" s="1"/>
  <c r="AO21" i="5" s="1"/>
  <c r="F21" i="5" s="1"/>
  <c r="X21" i="5"/>
  <c r="AG21" i="5" s="1"/>
  <c r="AP21" i="5" s="1"/>
  <c r="G21" i="5" s="1"/>
  <c r="G89" i="5"/>
  <c r="H89" i="5"/>
  <c r="I89" i="5"/>
  <c r="J89" i="5"/>
  <c r="F89" i="5"/>
  <c r="L89" i="5"/>
  <c r="K89" i="5"/>
  <c r="E89" i="5"/>
  <c r="W22" i="5" l="1"/>
  <c r="AF22" i="5" s="1"/>
  <c r="AO22" i="5" s="1"/>
  <c r="F22" i="5" s="1"/>
  <c r="AA22" i="5"/>
  <c r="AJ22" i="5" s="1"/>
  <c r="AS22" i="5" s="1"/>
  <c r="J22" i="5" s="1"/>
  <c r="AB22" i="5"/>
  <c r="AK22" i="5" s="1"/>
  <c r="AT22" i="5" s="1"/>
  <c r="AC22" i="5"/>
  <c r="AL22" i="5" s="1"/>
  <c r="AU22" i="5" s="1"/>
  <c r="L22" i="5" s="1"/>
  <c r="V22" i="5"/>
  <c r="AE22" i="5" s="1"/>
  <c r="AN22" i="5" s="1"/>
  <c r="E22" i="5" s="1"/>
  <c r="X22" i="5"/>
  <c r="AG22" i="5" s="1"/>
  <c r="AP22" i="5" s="1"/>
  <c r="G22" i="5" s="1"/>
  <c r="Z22" i="5"/>
  <c r="AI22" i="5" s="1"/>
  <c r="AR22" i="5" s="1"/>
  <c r="I22" i="5" s="1"/>
  <c r="Y22" i="5"/>
  <c r="AH22" i="5" s="1"/>
  <c r="AQ22" i="5" s="1"/>
  <c r="H22" i="5" s="1"/>
  <c r="G90" i="5"/>
  <c r="H90" i="5"/>
  <c r="I90" i="5"/>
  <c r="L90" i="5"/>
  <c r="F90" i="5"/>
  <c r="J90" i="5"/>
  <c r="K90" i="5"/>
  <c r="E90" i="5"/>
  <c r="AC23" i="5" l="1"/>
  <c r="AL23" i="5" s="1"/>
  <c r="AU23" i="5" s="1"/>
  <c r="Y23" i="5"/>
  <c r="AH23" i="5" s="1"/>
  <c r="AQ23" i="5" s="1"/>
  <c r="H23" i="5" s="1"/>
  <c r="X23" i="5"/>
  <c r="AG23" i="5" s="1"/>
  <c r="AP23" i="5" s="1"/>
  <c r="G23" i="5" s="1"/>
  <c r="AB23" i="5"/>
  <c r="AK23" i="5" s="1"/>
  <c r="AT23" i="5" s="1"/>
  <c r="Z23" i="5"/>
  <c r="AI23" i="5" s="1"/>
  <c r="AR23" i="5" s="1"/>
  <c r="I23" i="5" s="1"/>
  <c r="AA23" i="5"/>
  <c r="AJ23" i="5" s="1"/>
  <c r="AS23" i="5" s="1"/>
  <c r="J23" i="5" s="1"/>
  <c r="V23" i="5"/>
  <c r="AE23" i="5" s="1"/>
  <c r="AN23" i="5" s="1"/>
  <c r="E23" i="5" s="1"/>
  <c r="W23" i="5"/>
  <c r="AF23" i="5" s="1"/>
  <c r="AO23" i="5" s="1"/>
  <c r="F23" i="5" s="1"/>
  <c r="L23" i="5"/>
  <c r="F91" i="5"/>
  <c r="G91" i="5"/>
  <c r="H91" i="5"/>
  <c r="L91" i="5"/>
  <c r="I91" i="5"/>
  <c r="J91" i="5"/>
  <c r="K91" i="5"/>
  <c r="E91" i="5"/>
  <c r="W24" i="5" l="1"/>
  <c r="AF24" i="5" s="1"/>
  <c r="AO24" i="5" s="1"/>
  <c r="AB24" i="5"/>
  <c r="AK24" i="5" s="1"/>
  <c r="AT24" i="5" s="1"/>
  <c r="V24" i="5"/>
  <c r="AE24" i="5" s="1"/>
  <c r="AN24" i="5" s="1"/>
  <c r="E24" i="5" s="1"/>
  <c r="X24" i="5"/>
  <c r="AG24" i="5" s="1"/>
  <c r="AP24" i="5" s="1"/>
  <c r="G24" i="5" s="1"/>
  <c r="Z24" i="5"/>
  <c r="AI24" i="5" s="1"/>
  <c r="AR24" i="5" s="1"/>
  <c r="I24" i="5" s="1"/>
  <c r="Y24" i="5"/>
  <c r="AH24" i="5" s="1"/>
  <c r="AQ24" i="5" s="1"/>
  <c r="H24" i="5" s="1"/>
  <c r="AA24" i="5"/>
  <c r="AJ24" i="5" s="1"/>
  <c r="AS24" i="5" s="1"/>
  <c r="J24" i="5" s="1"/>
  <c r="AC24" i="5"/>
  <c r="AL24" i="5" s="1"/>
  <c r="AU24" i="5" s="1"/>
  <c r="L24" i="5" s="1"/>
  <c r="F24" i="5"/>
  <c r="F92" i="5"/>
  <c r="G92" i="5"/>
  <c r="H92" i="5"/>
  <c r="K92" i="5"/>
  <c r="I92" i="5"/>
  <c r="J92" i="5"/>
  <c r="E92" i="5"/>
  <c r="L92" i="5"/>
  <c r="AC25" i="5" l="1"/>
  <c r="AL25" i="5" s="1"/>
  <c r="AU25" i="5" s="1"/>
  <c r="L25" i="5" s="1"/>
  <c r="AA25" i="5"/>
  <c r="AJ25" i="5" s="1"/>
  <c r="AS25" i="5" s="1"/>
  <c r="J25" i="5" s="1"/>
  <c r="Y25" i="5"/>
  <c r="AH25" i="5" s="1"/>
  <c r="AQ25" i="5" s="1"/>
  <c r="H25" i="5" s="1"/>
  <c r="Z25" i="5"/>
  <c r="AI25" i="5" s="1"/>
  <c r="AR25" i="5" s="1"/>
  <c r="I25" i="5" s="1"/>
  <c r="X25" i="5"/>
  <c r="AG25" i="5" s="1"/>
  <c r="AP25" i="5" s="1"/>
  <c r="G25" i="5" s="1"/>
  <c r="V25" i="5"/>
  <c r="AE25" i="5" s="1"/>
  <c r="AN25" i="5" s="1"/>
  <c r="E25" i="5" s="1"/>
  <c r="AB25" i="5"/>
  <c r="AK25" i="5" s="1"/>
  <c r="AT25" i="5" s="1"/>
  <c r="W25" i="5"/>
  <c r="AF25" i="5" s="1"/>
  <c r="AO25" i="5" s="1"/>
  <c r="F25" i="5" s="1"/>
  <c r="G93" i="5"/>
  <c r="H93" i="5"/>
  <c r="I93" i="5"/>
  <c r="J93" i="5"/>
  <c r="E93" i="5"/>
  <c r="L93" i="5"/>
  <c r="F93" i="5"/>
  <c r="K93" i="5"/>
  <c r="W26" i="5" l="1"/>
  <c r="AF26" i="5" s="1"/>
  <c r="AO26" i="5" s="1"/>
  <c r="AB26" i="5"/>
  <c r="AK26" i="5" s="1"/>
  <c r="AT26" i="5" s="1"/>
  <c r="V26" i="5"/>
  <c r="AE26" i="5" s="1"/>
  <c r="AN26" i="5" s="1"/>
  <c r="E26" i="5" s="1"/>
  <c r="X26" i="5"/>
  <c r="AG26" i="5" s="1"/>
  <c r="AP26" i="5" s="1"/>
  <c r="G26" i="5" s="1"/>
  <c r="Z26" i="5"/>
  <c r="AI26" i="5" s="1"/>
  <c r="AR26" i="5" s="1"/>
  <c r="I26" i="5" s="1"/>
  <c r="Y26" i="5"/>
  <c r="AH26" i="5" s="1"/>
  <c r="AQ26" i="5" s="1"/>
  <c r="H26" i="5" s="1"/>
  <c r="AA26" i="5"/>
  <c r="AJ26" i="5" s="1"/>
  <c r="AS26" i="5" s="1"/>
  <c r="J26" i="5" s="1"/>
  <c r="AC26" i="5"/>
  <c r="AL26" i="5" s="1"/>
  <c r="AU26" i="5" s="1"/>
  <c r="L26" i="5" s="1"/>
  <c r="F26" i="5"/>
  <c r="F94" i="5"/>
  <c r="G94" i="5"/>
  <c r="H94" i="5"/>
  <c r="I94" i="5"/>
  <c r="J94" i="5"/>
  <c r="K94" i="5"/>
  <c r="L94" i="5"/>
  <c r="E94" i="5"/>
  <c r="AC27" i="5" l="1"/>
  <c r="AL27" i="5" s="1"/>
  <c r="AU27" i="5" s="1"/>
  <c r="AA27" i="5"/>
  <c r="AJ27" i="5" s="1"/>
  <c r="AS27" i="5" s="1"/>
  <c r="J27" i="5" s="1"/>
  <c r="Y27" i="5"/>
  <c r="AH27" i="5" s="1"/>
  <c r="AQ27" i="5" s="1"/>
  <c r="H27" i="5" s="1"/>
  <c r="Z27" i="5"/>
  <c r="AI27" i="5" s="1"/>
  <c r="AR27" i="5" s="1"/>
  <c r="I27" i="5" s="1"/>
  <c r="X27" i="5"/>
  <c r="AG27" i="5" s="1"/>
  <c r="AP27" i="5" s="1"/>
  <c r="G27" i="5" s="1"/>
  <c r="V27" i="5"/>
  <c r="AE27" i="5" s="1"/>
  <c r="AN27" i="5" s="1"/>
  <c r="E27" i="5" s="1"/>
  <c r="AB27" i="5"/>
  <c r="AK27" i="5" s="1"/>
  <c r="AT27" i="5" s="1"/>
  <c r="W27" i="5"/>
  <c r="AF27" i="5" s="1"/>
  <c r="AO27" i="5" s="1"/>
  <c r="F27" i="5" s="1"/>
  <c r="L27" i="5"/>
  <c r="F95" i="5"/>
  <c r="G95" i="5"/>
  <c r="H95" i="5"/>
  <c r="L95" i="5"/>
  <c r="I95" i="5"/>
  <c r="J95" i="5"/>
  <c r="K95" i="5"/>
  <c r="E95" i="5"/>
  <c r="W28" i="5" l="1"/>
  <c r="AF28" i="5" s="1"/>
  <c r="AO28" i="5" s="1"/>
  <c r="F28" i="5" s="1"/>
  <c r="V28" i="5"/>
  <c r="AE28" i="5" s="1"/>
  <c r="AN28" i="5" s="1"/>
  <c r="E28" i="5" s="1"/>
  <c r="Z28" i="5"/>
  <c r="AI28" i="5" s="1"/>
  <c r="AR28" i="5" s="1"/>
  <c r="I28" i="5" s="1"/>
  <c r="AA28" i="5"/>
  <c r="AJ28" i="5" s="1"/>
  <c r="AS28" i="5" s="1"/>
  <c r="J28" i="5" s="1"/>
  <c r="AB28" i="5"/>
  <c r="AK28" i="5" s="1"/>
  <c r="AT28" i="5" s="1"/>
  <c r="X28" i="5"/>
  <c r="AG28" i="5" s="1"/>
  <c r="AP28" i="5" s="1"/>
  <c r="G28" i="5" s="1"/>
  <c r="Y28" i="5"/>
  <c r="AH28" i="5" s="1"/>
  <c r="AQ28" i="5" s="1"/>
  <c r="H28" i="5" s="1"/>
  <c r="AC28" i="5"/>
  <c r="AL28" i="5" s="1"/>
  <c r="AU28" i="5" s="1"/>
  <c r="L28" i="5" s="1"/>
  <c r="G96" i="5"/>
  <c r="H96" i="5"/>
  <c r="I96" i="5"/>
  <c r="K96" i="5"/>
  <c r="J96" i="5"/>
  <c r="E96" i="5"/>
  <c r="L96" i="5"/>
  <c r="F96" i="5"/>
  <c r="AC29" i="5" l="1"/>
  <c r="AL29" i="5" s="1"/>
  <c r="AU29" i="5" s="1"/>
  <c r="Y29" i="5"/>
  <c r="AH29" i="5" s="1"/>
  <c r="AQ29" i="5" s="1"/>
  <c r="H29" i="5" s="1"/>
  <c r="X29" i="5"/>
  <c r="AG29" i="5" s="1"/>
  <c r="AP29" i="5" s="1"/>
  <c r="G29" i="5" s="1"/>
  <c r="AB29" i="5"/>
  <c r="AK29" i="5" s="1"/>
  <c r="AT29" i="5" s="1"/>
  <c r="AA29" i="5"/>
  <c r="AJ29" i="5" s="1"/>
  <c r="AS29" i="5" s="1"/>
  <c r="J29" i="5" s="1"/>
  <c r="Z29" i="5"/>
  <c r="AI29" i="5" s="1"/>
  <c r="AR29" i="5" s="1"/>
  <c r="I29" i="5" s="1"/>
  <c r="V29" i="5"/>
  <c r="AE29" i="5" s="1"/>
  <c r="AN29" i="5" s="1"/>
  <c r="E29" i="5" s="1"/>
  <c r="W29" i="5"/>
  <c r="AF29" i="5" s="1"/>
  <c r="AO29" i="5" s="1"/>
  <c r="F29" i="5" s="1"/>
  <c r="L29" i="5"/>
  <c r="F97" i="5"/>
  <c r="G97" i="5"/>
  <c r="H97" i="5"/>
  <c r="K97" i="5"/>
  <c r="E97" i="5"/>
  <c r="I97" i="5"/>
  <c r="J97" i="5"/>
  <c r="L97" i="5"/>
  <c r="Z30" i="5" l="1"/>
  <c r="AI30" i="5" s="1"/>
  <c r="AR30" i="5" s="1"/>
  <c r="I30" i="5" s="1"/>
  <c r="AB30" i="5"/>
  <c r="AK30" i="5" s="1"/>
  <c r="AT30" i="5" s="1"/>
  <c r="Y30" i="5"/>
  <c r="AH30" i="5" s="1"/>
  <c r="AQ30" i="5" s="1"/>
  <c r="H30" i="5" s="1"/>
  <c r="W30" i="5"/>
  <c r="AF30" i="5" s="1"/>
  <c r="AO30" i="5" s="1"/>
  <c r="F30" i="5" s="1"/>
  <c r="V30" i="5"/>
  <c r="AE30" i="5" s="1"/>
  <c r="AN30" i="5" s="1"/>
  <c r="E30" i="5" s="1"/>
  <c r="AA30" i="5"/>
  <c r="AJ30" i="5" s="1"/>
  <c r="AS30" i="5" s="1"/>
  <c r="J30" i="5" s="1"/>
  <c r="X30" i="5"/>
  <c r="AG30" i="5" s="1"/>
  <c r="AP30" i="5" s="1"/>
  <c r="G30" i="5" s="1"/>
  <c r="AC30" i="5"/>
  <c r="AL30" i="5" s="1"/>
  <c r="AU30" i="5" s="1"/>
  <c r="L30" i="5" s="1"/>
  <c r="G98" i="5"/>
  <c r="H98" i="5"/>
  <c r="I98" i="5"/>
  <c r="J98" i="5"/>
  <c r="L98" i="5"/>
  <c r="F98" i="5"/>
  <c r="K98" i="5"/>
  <c r="E98" i="5"/>
  <c r="AC31" i="5" l="1"/>
  <c r="AL31" i="5" s="1"/>
  <c r="AU31" i="5" s="1"/>
  <c r="L31" i="5" s="1"/>
  <c r="X31" i="5"/>
  <c r="AG31" i="5" s="1"/>
  <c r="AP31" i="5" s="1"/>
  <c r="G31" i="5" s="1"/>
  <c r="AA31" i="5"/>
  <c r="AJ31" i="5" s="1"/>
  <c r="AS31" i="5" s="1"/>
  <c r="J31" i="5" s="1"/>
  <c r="V31" i="5"/>
  <c r="AE31" i="5" s="1"/>
  <c r="AN31" i="5" s="1"/>
  <c r="E31" i="5" s="1"/>
  <c r="W31" i="5"/>
  <c r="AF31" i="5" s="1"/>
  <c r="AO31" i="5" s="1"/>
  <c r="F31" i="5" s="1"/>
  <c r="Y31" i="5"/>
  <c r="AH31" i="5" s="1"/>
  <c r="AQ31" i="5" s="1"/>
  <c r="H31" i="5" s="1"/>
  <c r="AB31" i="5"/>
  <c r="AK31" i="5" s="1"/>
  <c r="AT31" i="5" s="1"/>
  <c r="Z31" i="5"/>
  <c r="AI31" i="5" s="1"/>
  <c r="AR31" i="5" s="1"/>
  <c r="I31" i="5" s="1"/>
  <c r="G99" i="5"/>
  <c r="H99" i="5"/>
  <c r="I99" i="5"/>
  <c r="J99" i="5"/>
  <c r="F99" i="5"/>
  <c r="L99" i="5"/>
  <c r="K99" i="5"/>
  <c r="E99" i="5"/>
  <c r="Z32" i="5" l="1"/>
  <c r="AI32" i="5" s="1"/>
  <c r="AR32" i="5" s="1"/>
  <c r="I32" i="5" s="1"/>
  <c r="AB32" i="5"/>
  <c r="AK32" i="5" s="1"/>
  <c r="AT32" i="5" s="1"/>
  <c r="Y32" i="5"/>
  <c r="AH32" i="5" s="1"/>
  <c r="AQ32" i="5" s="1"/>
  <c r="H32" i="5" s="1"/>
  <c r="W32" i="5"/>
  <c r="AF32" i="5" s="1"/>
  <c r="AO32" i="5" s="1"/>
  <c r="F32" i="5" s="1"/>
  <c r="V32" i="5"/>
  <c r="AE32" i="5" s="1"/>
  <c r="AN32" i="5" s="1"/>
  <c r="E32" i="5" s="1"/>
  <c r="AA32" i="5"/>
  <c r="AJ32" i="5" s="1"/>
  <c r="AS32" i="5" s="1"/>
  <c r="J32" i="5" s="1"/>
  <c r="X32" i="5"/>
  <c r="AG32" i="5" s="1"/>
  <c r="AP32" i="5" s="1"/>
  <c r="G32" i="5" s="1"/>
  <c r="AC32" i="5"/>
  <c r="AL32" i="5" s="1"/>
  <c r="AU32" i="5" s="1"/>
  <c r="L32" i="5" s="1"/>
  <c r="G100" i="5"/>
  <c r="H100" i="5"/>
  <c r="I100" i="5"/>
  <c r="E100" i="5"/>
  <c r="K100" i="5"/>
  <c r="F100" i="5"/>
  <c r="J100" i="5"/>
  <c r="L100" i="5"/>
  <c r="AC33" i="5" l="1"/>
  <c r="AL33" i="5" s="1"/>
  <c r="AU33" i="5" s="1"/>
  <c r="L33" i="5" s="1"/>
  <c r="X33" i="5"/>
  <c r="AG33" i="5" s="1"/>
  <c r="AP33" i="5" s="1"/>
  <c r="G33" i="5" s="1"/>
  <c r="AA33" i="5"/>
  <c r="AJ33" i="5" s="1"/>
  <c r="AS33" i="5" s="1"/>
  <c r="J33" i="5" s="1"/>
  <c r="V33" i="5"/>
  <c r="AE33" i="5" s="1"/>
  <c r="AN33" i="5" s="1"/>
  <c r="E33" i="5" s="1"/>
  <c r="W33" i="5"/>
  <c r="AF33" i="5" s="1"/>
  <c r="AO33" i="5" s="1"/>
  <c r="F33" i="5" s="1"/>
  <c r="Y33" i="5"/>
  <c r="AH33" i="5" s="1"/>
  <c r="AQ33" i="5" s="1"/>
  <c r="H33" i="5" s="1"/>
  <c r="AB33" i="5"/>
  <c r="AK33" i="5" s="1"/>
  <c r="AT33" i="5" s="1"/>
  <c r="Z33" i="5"/>
  <c r="AI33" i="5" s="1"/>
  <c r="AR33" i="5" s="1"/>
  <c r="I33" i="5" s="1"/>
  <c r="G101" i="5"/>
  <c r="H101" i="5"/>
  <c r="I101" i="5"/>
  <c r="L101" i="5"/>
  <c r="E101" i="5"/>
  <c r="J101" i="5"/>
  <c r="F101" i="5"/>
  <c r="K101" i="5"/>
  <c r="Z34" i="5" l="1"/>
  <c r="AI34" i="5" s="1"/>
  <c r="AR34" i="5" s="1"/>
  <c r="I34" i="5" s="1"/>
  <c r="AB34" i="5"/>
  <c r="AK34" i="5" s="1"/>
  <c r="AT34" i="5" s="1"/>
  <c r="Y34" i="5"/>
  <c r="AH34" i="5" s="1"/>
  <c r="AQ34" i="5" s="1"/>
  <c r="H34" i="5" s="1"/>
  <c r="W34" i="5"/>
  <c r="AF34" i="5" s="1"/>
  <c r="AO34" i="5" s="1"/>
  <c r="F34" i="5" s="1"/>
  <c r="V34" i="5"/>
  <c r="AE34" i="5" s="1"/>
  <c r="AN34" i="5" s="1"/>
  <c r="E34" i="5" s="1"/>
  <c r="AA34" i="5"/>
  <c r="AJ34" i="5" s="1"/>
  <c r="AS34" i="5" s="1"/>
  <c r="J34" i="5" s="1"/>
  <c r="X34" i="5"/>
  <c r="AG34" i="5" s="1"/>
  <c r="AP34" i="5" s="1"/>
  <c r="G34" i="5" s="1"/>
  <c r="AC34" i="5"/>
  <c r="AL34" i="5" s="1"/>
  <c r="AU34" i="5" s="1"/>
  <c r="L34" i="5" s="1"/>
  <c r="G102" i="5"/>
  <c r="H102" i="5"/>
  <c r="I102" i="5"/>
  <c r="J102" i="5"/>
  <c r="K102" i="5"/>
  <c r="L102" i="5"/>
  <c r="F102" i="5"/>
  <c r="E102" i="5"/>
  <c r="W35" i="5" l="1"/>
  <c r="AF35" i="5" s="1"/>
  <c r="AO35" i="5" s="1"/>
  <c r="F35" i="5" s="1"/>
  <c r="AC35" i="5"/>
  <c r="AL35" i="5" s="1"/>
  <c r="AU35" i="5" s="1"/>
  <c r="L35" i="5" s="1"/>
  <c r="V35" i="5"/>
  <c r="AE35" i="5" s="1"/>
  <c r="AN35" i="5" s="1"/>
  <c r="E35" i="5" s="1"/>
  <c r="Y35" i="5"/>
  <c r="AH35" i="5" s="1"/>
  <c r="AQ35" i="5" s="1"/>
  <c r="H35" i="5" s="1"/>
  <c r="X35" i="5"/>
  <c r="AG35" i="5" s="1"/>
  <c r="AP35" i="5" s="1"/>
  <c r="G35" i="5" s="1"/>
  <c r="AA35" i="5"/>
  <c r="AJ35" i="5" s="1"/>
  <c r="AS35" i="5" s="1"/>
  <c r="J35" i="5" s="1"/>
  <c r="AB35" i="5"/>
  <c r="AK35" i="5" s="1"/>
  <c r="AT35" i="5" s="1"/>
  <c r="Z35" i="5"/>
  <c r="AI35" i="5" s="1"/>
  <c r="AR35" i="5" s="1"/>
  <c r="I35" i="5" s="1"/>
  <c r="G103" i="5"/>
  <c r="H103" i="5"/>
  <c r="I103" i="5"/>
  <c r="E103" i="5"/>
  <c r="J103" i="5"/>
  <c r="F103" i="5"/>
  <c r="L103" i="5"/>
  <c r="K103" i="5"/>
  <c r="AB36" i="5" l="1"/>
  <c r="AK36" i="5" s="1"/>
  <c r="AT36" i="5" s="1"/>
  <c r="X36" i="5"/>
  <c r="AG36" i="5" s="1"/>
  <c r="AP36" i="5" s="1"/>
  <c r="G36" i="5" s="1"/>
  <c r="V36" i="5"/>
  <c r="AE36" i="5" s="1"/>
  <c r="AN36" i="5" s="1"/>
  <c r="E36" i="5" s="1"/>
  <c r="Z36" i="5"/>
  <c r="AI36" i="5" s="1"/>
  <c r="AR36" i="5" s="1"/>
  <c r="I36" i="5" s="1"/>
  <c r="Y36" i="5"/>
  <c r="AH36" i="5" s="1"/>
  <c r="AQ36" i="5" s="1"/>
  <c r="H36" i="5" s="1"/>
  <c r="AC36" i="5"/>
  <c r="AL36" i="5" s="1"/>
  <c r="AU36" i="5" s="1"/>
  <c r="L36" i="5" s="1"/>
  <c r="AA36" i="5"/>
  <c r="AJ36" i="5" s="1"/>
  <c r="AS36" i="5" s="1"/>
  <c r="J36" i="5" s="1"/>
  <c r="W36" i="5"/>
  <c r="AF36" i="5" s="1"/>
  <c r="AO36" i="5" s="1"/>
  <c r="F36" i="5" s="1"/>
  <c r="G104" i="5"/>
  <c r="H104" i="5"/>
  <c r="I104" i="5"/>
  <c r="J104" i="5"/>
  <c r="L104" i="5"/>
  <c r="F104" i="5"/>
  <c r="E104" i="5"/>
  <c r="K104" i="5"/>
  <c r="W37" i="5" l="1"/>
  <c r="AF37" i="5" s="1"/>
  <c r="AO37" i="5" s="1"/>
  <c r="F37" i="5" s="1"/>
  <c r="Z37" i="5"/>
  <c r="AI37" i="5" s="1"/>
  <c r="AR37" i="5" s="1"/>
  <c r="I37" i="5" s="1"/>
  <c r="AC37" i="5"/>
  <c r="AL37" i="5" s="1"/>
  <c r="AU37" i="5" s="1"/>
  <c r="L37" i="5" s="1"/>
  <c r="V37" i="5"/>
  <c r="AE37" i="5" s="1"/>
  <c r="AN37" i="5" s="1"/>
  <c r="E37" i="5" s="1"/>
  <c r="AA37" i="5"/>
  <c r="AJ37" i="5" s="1"/>
  <c r="AS37" i="5" s="1"/>
  <c r="J37" i="5" s="1"/>
  <c r="X37" i="5"/>
  <c r="AG37" i="5" s="1"/>
  <c r="AP37" i="5" s="1"/>
  <c r="G37" i="5" s="1"/>
  <c r="Y37" i="5"/>
  <c r="AH37" i="5" s="1"/>
  <c r="AQ37" i="5" s="1"/>
  <c r="H37" i="5" s="1"/>
  <c r="AB37" i="5"/>
  <c r="AK37" i="5" s="1"/>
  <c r="AT37" i="5" s="1"/>
  <c r="G105" i="5"/>
  <c r="H105" i="5"/>
  <c r="I105" i="5"/>
  <c r="K105" i="5"/>
  <c r="E105" i="5"/>
  <c r="L105" i="5"/>
  <c r="F105" i="5"/>
  <c r="J105" i="5"/>
  <c r="V38" i="5" l="1"/>
  <c r="AE38" i="5" s="1"/>
  <c r="AN38" i="5" s="1"/>
  <c r="E38" i="5" s="1"/>
  <c r="Y38" i="5"/>
  <c r="AH38" i="5" s="1"/>
  <c r="AQ38" i="5" s="1"/>
  <c r="H38" i="5" s="1"/>
  <c r="AA38" i="5"/>
  <c r="AJ38" i="5" s="1"/>
  <c r="AS38" i="5" s="1"/>
  <c r="J38" i="5" s="1"/>
  <c r="Z38" i="5"/>
  <c r="AI38" i="5" s="1"/>
  <c r="AR38" i="5" s="1"/>
  <c r="I38" i="5" s="1"/>
  <c r="AB38" i="5"/>
  <c r="AK38" i="5" s="1"/>
  <c r="AT38" i="5" s="1"/>
  <c r="K38" i="5" s="1"/>
  <c r="X38" i="5"/>
  <c r="AG38" i="5" s="1"/>
  <c r="AP38" i="5" s="1"/>
  <c r="G38" i="5" s="1"/>
  <c r="AC38" i="5"/>
  <c r="AL38" i="5" s="1"/>
  <c r="AU38" i="5" s="1"/>
  <c r="L38" i="5" s="1"/>
  <c r="W38" i="5"/>
  <c r="AF38" i="5" s="1"/>
  <c r="AO38" i="5" s="1"/>
  <c r="F38" i="5" s="1"/>
  <c r="G106" i="5"/>
  <c r="H106" i="5"/>
  <c r="I106" i="5"/>
  <c r="K106" i="5"/>
  <c r="J106" i="5"/>
  <c r="L106" i="5"/>
  <c r="E106" i="5"/>
  <c r="F106" i="5"/>
  <c r="AA39" i="5" l="1"/>
  <c r="AJ39" i="5" s="1"/>
  <c r="AS39" i="5" s="1"/>
  <c r="J39" i="5" s="1"/>
  <c r="W39" i="5"/>
  <c r="AF39" i="5" s="1"/>
  <c r="AO39" i="5" s="1"/>
  <c r="F39" i="5" s="1"/>
  <c r="X39" i="5"/>
  <c r="AG39" i="5" s="1"/>
  <c r="AP39" i="5" s="1"/>
  <c r="G39" i="5" s="1"/>
  <c r="Z39" i="5"/>
  <c r="AI39" i="5" s="1"/>
  <c r="AR39" i="5" s="1"/>
  <c r="I39" i="5" s="1"/>
  <c r="Y39" i="5"/>
  <c r="AH39" i="5" s="1"/>
  <c r="AQ39" i="5" s="1"/>
  <c r="H39" i="5" s="1"/>
  <c r="AC39" i="5"/>
  <c r="AL39" i="5" s="1"/>
  <c r="AU39" i="5" s="1"/>
  <c r="L39" i="5" s="1"/>
  <c r="AB39" i="5"/>
  <c r="AK39" i="5" s="1"/>
  <c r="AT39" i="5" s="1"/>
  <c r="K39" i="5" s="1"/>
  <c r="V39" i="5"/>
  <c r="AE39" i="5" s="1"/>
  <c r="AN39" i="5" s="1"/>
  <c r="E39" i="5" s="1"/>
  <c r="G107" i="5"/>
  <c r="H107" i="5"/>
  <c r="I107" i="5"/>
  <c r="J107" i="5"/>
  <c r="L107" i="5"/>
  <c r="K107" i="5"/>
  <c r="E107" i="5"/>
  <c r="F107" i="5"/>
  <c r="V40" i="5" l="1"/>
  <c r="AE40" i="5" s="1"/>
  <c r="AN40" i="5" s="1"/>
  <c r="X40" i="5"/>
  <c r="AG40" i="5" s="1"/>
  <c r="AP40" i="5" s="1"/>
  <c r="AC40" i="5"/>
  <c r="AL40" i="5" s="1"/>
  <c r="AU40" i="5" s="1"/>
  <c r="L40" i="5" s="1"/>
  <c r="Z40" i="5"/>
  <c r="AI40" i="5" s="1"/>
  <c r="AR40" i="5" s="1"/>
  <c r="I40" i="5" s="1"/>
  <c r="W40" i="5"/>
  <c r="AF40" i="5" s="1"/>
  <c r="AO40" i="5" s="1"/>
  <c r="F40" i="5" s="1"/>
  <c r="AB40" i="5"/>
  <c r="AK40" i="5" s="1"/>
  <c r="AT40" i="5" s="1"/>
  <c r="K40" i="5" s="1"/>
  <c r="Y40" i="5"/>
  <c r="AH40" i="5" s="1"/>
  <c r="AQ40" i="5" s="1"/>
  <c r="H40" i="5" s="1"/>
  <c r="AA40" i="5"/>
  <c r="AJ40" i="5" s="1"/>
  <c r="AS40" i="5" s="1"/>
  <c r="J40" i="5" s="1"/>
  <c r="E40" i="5"/>
  <c r="G40" i="5"/>
  <c r="E108" i="5"/>
  <c r="F108" i="5"/>
  <c r="G108" i="5"/>
  <c r="L108" i="5"/>
  <c r="H108" i="5"/>
  <c r="I108" i="5"/>
  <c r="J108" i="5"/>
  <c r="K108" i="5"/>
  <c r="Y41" i="5" l="1"/>
  <c r="AH41" i="5" s="1"/>
  <c r="AQ41" i="5" s="1"/>
  <c r="Z41" i="5"/>
  <c r="AI41" i="5" s="1"/>
  <c r="AR41" i="5" s="1"/>
  <c r="I41" i="5" s="1"/>
  <c r="AC41" i="5"/>
  <c r="AL41" i="5" s="1"/>
  <c r="AU41" i="5" s="1"/>
  <c r="L41" i="5" s="1"/>
  <c r="AA41" i="5"/>
  <c r="AJ41" i="5" s="1"/>
  <c r="AS41" i="5" s="1"/>
  <c r="J41" i="5" s="1"/>
  <c r="AB41" i="5"/>
  <c r="AK41" i="5" s="1"/>
  <c r="AT41" i="5" s="1"/>
  <c r="K41" i="5" s="1"/>
  <c r="X41" i="5"/>
  <c r="AG41" i="5" s="1"/>
  <c r="AP41" i="5" s="1"/>
  <c r="G41" i="5" s="1"/>
  <c r="W41" i="5"/>
  <c r="AF41" i="5" s="1"/>
  <c r="AO41" i="5" s="1"/>
  <c r="F41" i="5" s="1"/>
  <c r="V41" i="5"/>
  <c r="AE41" i="5" s="1"/>
  <c r="AN41" i="5" s="1"/>
  <c r="E41" i="5" s="1"/>
  <c r="H41" i="5"/>
  <c r="F109" i="5"/>
  <c r="G109" i="5"/>
  <c r="L109" i="5"/>
  <c r="H109" i="5"/>
  <c r="E109" i="5"/>
  <c r="J109" i="5"/>
  <c r="I109" i="5"/>
  <c r="K109" i="5"/>
  <c r="AA42" i="5" l="1"/>
  <c r="AJ42" i="5" s="1"/>
  <c r="AS42" i="5" s="1"/>
  <c r="J42" i="5" s="1"/>
  <c r="V42" i="5"/>
  <c r="AE42" i="5" s="1"/>
  <c r="AN42" i="5" s="1"/>
  <c r="E42" i="5" s="1"/>
  <c r="AC42" i="5"/>
  <c r="AL42" i="5" s="1"/>
  <c r="AU42" i="5" s="1"/>
  <c r="L42" i="5" s="1"/>
  <c r="W42" i="5"/>
  <c r="AF42" i="5" s="1"/>
  <c r="AO42" i="5" s="1"/>
  <c r="F42" i="5" s="1"/>
  <c r="AB42" i="5"/>
  <c r="AK42" i="5" s="1"/>
  <c r="AT42" i="5" s="1"/>
  <c r="K42" i="5" s="1"/>
  <c r="Z42" i="5"/>
  <c r="AI42" i="5" s="1"/>
  <c r="AR42" i="5" s="1"/>
  <c r="I42" i="5" s="1"/>
  <c r="X42" i="5"/>
  <c r="AG42" i="5" s="1"/>
  <c r="AP42" i="5" s="1"/>
  <c r="G42" i="5" s="1"/>
  <c r="Y42" i="5"/>
  <c r="AH42" i="5" s="1"/>
  <c r="AQ42" i="5" s="1"/>
  <c r="H42" i="5" s="1"/>
  <c r="G110" i="5"/>
  <c r="H110" i="5"/>
  <c r="I110" i="5"/>
  <c r="J110" i="5"/>
  <c r="K110" i="5"/>
  <c r="E110" i="5"/>
  <c r="L110" i="5"/>
  <c r="F110" i="5"/>
  <c r="Y43" i="5" l="1"/>
  <c r="AH43" i="5" s="1"/>
  <c r="AQ43" i="5" s="1"/>
  <c r="X43" i="5"/>
  <c r="AG43" i="5" s="1"/>
  <c r="AP43" i="5" s="1"/>
  <c r="Z43" i="5"/>
  <c r="AI43" i="5" s="1"/>
  <c r="AR43" i="5" s="1"/>
  <c r="AB43" i="5"/>
  <c r="AK43" i="5" s="1"/>
  <c r="AT43" i="5" s="1"/>
  <c r="W43" i="5"/>
  <c r="AF43" i="5" s="1"/>
  <c r="AO43" i="5" s="1"/>
  <c r="AC43" i="5"/>
  <c r="AL43" i="5" s="1"/>
  <c r="AU43" i="5" s="1"/>
  <c r="V43" i="5"/>
  <c r="AE43" i="5" s="1"/>
  <c r="AN43" i="5" s="1"/>
  <c r="AA43" i="5"/>
  <c r="AJ43" i="5" s="1"/>
  <c r="AS43" i="5" s="1"/>
  <c r="G111" i="5"/>
  <c r="H111" i="5"/>
  <c r="I111" i="5"/>
  <c r="J111" i="5"/>
  <c r="K111" i="5"/>
  <c r="E111" i="5"/>
  <c r="L111" i="5"/>
  <c r="F111" i="5"/>
  <c r="AA44" i="5" l="1"/>
  <c r="AJ44" i="5" s="1"/>
  <c r="AS44" i="5" s="1"/>
  <c r="V44" i="5"/>
  <c r="AE44" i="5" s="1"/>
  <c r="AN44" i="5" s="1"/>
  <c r="AC44" i="5"/>
  <c r="AL44" i="5" s="1"/>
  <c r="AU44" i="5" s="1"/>
  <c r="W44" i="5"/>
  <c r="AF44" i="5" s="1"/>
  <c r="AO44" i="5" s="1"/>
  <c r="AB44" i="5"/>
  <c r="AK44" i="5" s="1"/>
  <c r="AT44" i="5" s="1"/>
  <c r="Z44" i="5"/>
  <c r="AI44" i="5" s="1"/>
  <c r="AR44" i="5" s="1"/>
  <c r="X44" i="5"/>
  <c r="AG44" i="5" s="1"/>
  <c r="AP44" i="5" s="1"/>
  <c r="Y44" i="5"/>
  <c r="AH44" i="5" s="1"/>
  <c r="AQ44" i="5" s="1"/>
  <c r="G112" i="5"/>
  <c r="H112" i="5"/>
  <c r="I112" i="5"/>
  <c r="J112" i="5"/>
  <c r="L112" i="5"/>
  <c r="K112" i="5"/>
  <c r="E112" i="5"/>
  <c r="F112" i="5"/>
  <c r="Y45" i="5" l="1"/>
  <c r="AH45" i="5" s="1"/>
  <c r="AQ45" i="5" s="1"/>
  <c r="X45" i="5"/>
  <c r="AG45" i="5" s="1"/>
  <c r="AP45" i="5" s="1"/>
  <c r="Z45" i="5"/>
  <c r="AI45" i="5" s="1"/>
  <c r="AR45" i="5" s="1"/>
  <c r="AB45" i="5"/>
  <c r="AK45" i="5" s="1"/>
  <c r="AT45" i="5" s="1"/>
  <c r="W45" i="5"/>
  <c r="AF45" i="5" s="1"/>
  <c r="AO45" i="5" s="1"/>
  <c r="AC45" i="5"/>
  <c r="AL45" i="5" s="1"/>
  <c r="AU45" i="5" s="1"/>
  <c r="V45" i="5"/>
  <c r="AE45" i="5" s="1"/>
  <c r="AN45" i="5" s="1"/>
  <c r="AA45" i="5"/>
  <c r="AJ45" i="5" s="1"/>
  <c r="AS45" i="5" s="1"/>
  <c r="G113" i="5"/>
  <c r="H113" i="5"/>
  <c r="I113" i="5"/>
  <c r="J113" i="5"/>
  <c r="L113" i="5"/>
  <c r="E113" i="5"/>
  <c r="F113" i="5"/>
  <c r="K113" i="5"/>
  <c r="AA46" i="5" l="1"/>
  <c r="AJ46" i="5" s="1"/>
  <c r="AS46" i="5" s="1"/>
  <c r="V46" i="5"/>
  <c r="AE46" i="5" s="1"/>
  <c r="AN46" i="5" s="1"/>
  <c r="AC46" i="5"/>
  <c r="AL46" i="5" s="1"/>
  <c r="AU46" i="5" s="1"/>
  <c r="W46" i="5"/>
  <c r="AF46" i="5" s="1"/>
  <c r="AO46" i="5" s="1"/>
  <c r="AB46" i="5"/>
  <c r="AK46" i="5" s="1"/>
  <c r="AT46" i="5" s="1"/>
  <c r="Z46" i="5"/>
  <c r="AI46" i="5" s="1"/>
  <c r="AR46" i="5" s="1"/>
  <c r="X46" i="5"/>
  <c r="AG46" i="5" s="1"/>
  <c r="AP46" i="5" s="1"/>
  <c r="Y46" i="5"/>
  <c r="AH46" i="5" s="1"/>
  <c r="AQ46" i="5" s="1"/>
  <c r="G114" i="5"/>
  <c r="H114" i="5"/>
  <c r="I114" i="5"/>
  <c r="J114" i="5"/>
  <c r="L114" i="5"/>
  <c r="F114" i="5"/>
  <c r="K114" i="5"/>
  <c r="E114" i="5"/>
  <c r="Y47" i="5" l="1"/>
  <c r="AH47" i="5" s="1"/>
  <c r="AQ47" i="5" s="1"/>
  <c r="X47" i="5"/>
  <c r="AG47" i="5" s="1"/>
  <c r="AP47" i="5" s="1"/>
  <c r="Z47" i="5"/>
  <c r="AI47" i="5" s="1"/>
  <c r="AR47" i="5" s="1"/>
  <c r="AB47" i="5"/>
  <c r="AK47" i="5" s="1"/>
  <c r="AT47" i="5" s="1"/>
  <c r="W47" i="5"/>
  <c r="AF47" i="5" s="1"/>
  <c r="AO47" i="5" s="1"/>
  <c r="AC47" i="5"/>
  <c r="AL47" i="5" s="1"/>
  <c r="AU47" i="5" s="1"/>
  <c r="V47" i="5"/>
  <c r="AE47" i="5" s="1"/>
  <c r="AN47" i="5" s="1"/>
  <c r="AA47" i="5"/>
  <c r="AJ47" i="5" s="1"/>
  <c r="AS47" i="5" s="1"/>
  <c r="I115" i="5"/>
  <c r="K115" i="5"/>
  <c r="J115" i="5"/>
  <c r="E115" i="5"/>
  <c r="F115" i="5"/>
  <c r="G115" i="5"/>
  <c r="H115" i="5"/>
  <c r="L115" i="5"/>
  <c r="W48" i="5" l="1"/>
  <c r="AF48" i="5" s="1"/>
  <c r="AO48" i="5" s="1"/>
  <c r="AB48" i="5"/>
  <c r="AK48" i="5" s="1"/>
  <c r="AT48" i="5" s="1"/>
  <c r="AA48" i="5"/>
  <c r="AJ48" i="5" s="1"/>
  <c r="AS48" i="5" s="1"/>
  <c r="Z48" i="5"/>
  <c r="AI48" i="5" s="1"/>
  <c r="AR48" i="5" s="1"/>
  <c r="AC48" i="5"/>
  <c r="AL48" i="5" s="1"/>
  <c r="AU48" i="5" s="1"/>
  <c r="X48" i="5"/>
  <c r="AG48" i="5" s="1"/>
  <c r="AP48" i="5" s="1"/>
  <c r="V48" i="5"/>
  <c r="AE48" i="5" s="1"/>
  <c r="AN48" i="5" s="1"/>
  <c r="Y48" i="5"/>
  <c r="AH48" i="5" s="1"/>
  <c r="AQ48" i="5" s="1"/>
  <c r="I116" i="5"/>
  <c r="K116" i="5"/>
  <c r="J116" i="5"/>
  <c r="H116" i="5"/>
  <c r="F116" i="5"/>
  <c r="E116" i="5"/>
  <c r="G116" i="5"/>
  <c r="L116" i="5"/>
  <c r="V49" i="5" l="1"/>
  <c r="AE49" i="5" s="1"/>
  <c r="AN49" i="5" s="1"/>
  <c r="Z49" i="5"/>
  <c r="AI49" i="5" s="1"/>
  <c r="AR49" i="5" s="1"/>
  <c r="Y49" i="5"/>
  <c r="AH49" i="5" s="1"/>
  <c r="AQ49" i="5" s="1"/>
  <c r="AA49" i="5"/>
  <c r="AJ49" i="5" s="1"/>
  <c r="AS49" i="5" s="1"/>
  <c r="X49" i="5"/>
  <c r="AG49" i="5" s="1"/>
  <c r="AP49" i="5" s="1"/>
  <c r="AB49" i="5"/>
  <c r="AK49" i="5" s="1"/>
  <c r="AT49" i="5" s="1"/>
  <c r="AC49" i="5"/>
  <c r="AL49" i="5" s="1"/>
  <c r="AU49" i="5" s="1"/>
  <c r="W49" i="5"/>
  <c r="AF49" i="5" s="1"/>
  <c r="AO49" i="5" s="1"/>
  <c r="H117" i="5"/>
  <c r="K117" i="5"/>
  <c r="G117" i="5"/>
  <c r="I117" i="5"/>
  <c r="L117" i="5"/>
  <c r="F117" i="5"/>
  <c r="E117" i="5"/>
  <c r="J117" i="5"/>
  <c r="W50" i="5" l="1"/>
  <c r="AF50" i="5" s="1"/>
  <c r="AO50" i="5" s="1"/>
  <c r="AA50" i="5"/>
  <c r="AJ50" i="5" s="1"/>
  <c r="AS50" i="5" s="1"/>
  <c r="AC50" i="5"/>
  <c r="AL50" i="5" s="1"/>
  <c r="AU50" i="5" s="1"/>
  <c r="Y50" i="5"/>
  <c r="AH50" i="5" s="1"/>
  <c r="AQ50" i="5" s="1"/>
  <c r="X50" i="5"/>
  <c r="AG50" i="5" s="1"/>
  <c r="AP50" i="5" s="1"/>
  <c r="Z50" i="5"/>
  <c r="AI50" i="5" s="1"/>
  <c r="AR50" i="5" s="1"/>
  <c r="AB50" i="5"/>
  <c r="AK50" i="5" s="1"/>
  <c r="AT50" i="5" s="1"/>
  <c r="V50" i="5"/>
  <c r="AE50" i="5" s="1"/>
  <c r="AN50" i="5" s="1"/>
  <c r="H118" i="5"/>
  <c r="I118" i="5"/>
  <c r="L118" i="5"/>
  <c r="K118" i="5"/>
  <c r="F118" i="5"/>
  <c r="G118" i="5"/>
  <c r="E118" i="5"/>
  <c r="J118" i="5"/>
  <c r="V51" i="5" l="1"/>
  <c r="AE51" i="5" s="1"/>
  <c r="AN51" i="5" s="1"/>
  <c r="Z51" i="5"/>
  <c r="AI51" i="5" s="1"/>
  <c r="AR51" i="5" s="1"/>
  <c r="Y51" i="5"/>
  <c r="AH51" i="5" s="1"/>
  <c r="AQ51" i="5" s="1"/>
  <c r="AA51" i="5"/>
  <c r="AJ51" i="5" s="1"/>
  <c r="AS51" i="5" s="1"/>
  <c r="AB51" i="5"/>
  <c r="AK51" i="5" s="1"/>
  <c r="AT51" i="5" s="1"/>
  <c r="X51" i="5"/>
  <c r="AG51" i="5" s="1"/>
  <c r="AP51" i="5" s="1"/>
  <c r="AC51" i="5"/>
  <c r="AL51" i="5" s="1"/>
  <c r="AU51" i="5" s="1"/>
  <c r="W51" i="5"/>
  <c r="AF51" i="5" s="1"/>
  <c r="AO51" i="5" s="1"/>
  <c r="L119" i="5"/>
  <c r="J119" i="5"/>
  <c r="E119" i="5"/>
  <c r="H119" i="5"/>
  <c r="F119" i="5"/>
  <c r="I119" i="5"/>
  <c r="G119" i="5"/>
  <c r="K119" i="5"/>
  <c r="V52" i="5" l="1"/>
  <c r="AC52" i="5"/>
  <c r="AL52" i="5" s="1"/>
  <c r="AU52" i="5" s="1"/>
  <c r="X52" i="5"/>
  <c r="AG52" i="5" s="1"/>
  <c r="AP52" i="5" s="1"/>
  <c r="AA52" i="5"/>
  <c r="AJ52" i="5" s="1"/>
  <c r="AS52" i="5" s="1"/>
  <c r="Z52" i="5"/>
  <c r="AI52" i="5" s="1"/>
  <c r="AR52" i="5" s="1"/>
  <c r="W52" i="5"/>
  <c r="AF52" i="5" s="1"/>
  <c r="AO52" i="5" s="1"/>
  <c r="AB52" i="5"/>
  <c r="AK52" i="5" s="1"/>
  <c r="AT52" i="5" s="1"/>
  <c r="Y52" i="5"/>
  <c r="AH52" i="5" s="1"/>
  <c r="AQ52" i="5" s="1"/>
  <c r="AE52" i="5"/>
  <c r="AN52" i="5" s="1"/>
  <c r="H120" i="5"/>
  <c r="J120" i="5"/>
  <c r="G120" i="5"/>
  <c r="I120" i="5"/>
  <c r="K120" i="5"/>
  <c r="F120" i="5"/>
  <c r="L120" i="5"/>
  <c r="E120" i="5"/>
  <c r="V53" i="5" l="1"/>
  <c r="AE53" i="5" s="1"/>
  <c r="AN53" i="5" s="1"/>
  <c r="Y53" i="5"/>
  <c r="AH53" i="5" s="1"/>
  <c r="AQ53" i="5" s="1"/>
  <c r="AB53" i="5"/>
  <c r="AK53" i="5" s="1"/>
  <c r="AT53" i="5" s="1"/>
  <c r="W53" i="5"/>
  <c r="AF53" i="5" s="1"/>
  <c r="AO53" i="5" s="1"/>
  <c r="Z53" i="5"/>
  <c r="AI53" i="5" s="1"/>
  <c r="AR53" i="5" s="1"/>
  <c r="AA53" i="5"/>
  <c r="AJ53" i="5" s="1"/>
  <c r="AS53" i="5" s="1"/>
  <c r="X53" i="5"/>
  <c r="AG53" i="5" s="1"/>
  <c r="AP53" i="5" s="1"/>
  <c r="AC53" i="5"/>
  <c r="AL53" i="5" s="1"/>
  <c r="AU53" i="5" s="1"/>
  <c r="I121" i="5"/>
  <c r="L121" i="5"/>
  <c r="G121" i="5"/>
  <c r="H121" i="5"/>
  <c r="F121" i="5"/>
  <c r="E121" i="5"/>
  <c r="K121" i="5"/>
  <c r="J121" i="5"/>
  <c r="W54" i="5" l="1"/>
  <c r="AF54" i="5" s="1"/>
  <c r="AO54" i="5" s="1"/>
  <c r="AC54" i="5"/>
  <c r="AL54" i="5" s="1"/>
  <c r="AU54" i="5" s="1"/>
  <c r="AB54" i="5"/>
  <c r="AK54" i="5" s="1"/>
  <c r="AT54" i="5" s="1"/>
  <c r="AA54" i="5"/>
  <c r="AJ54" i="5" s="1"/>
  <c r="AS54" i="5" s="1"/>
  <c r="Y54" i="5"/>
  <c r="AH54" i="5" s="1"/>
  <c r="AQ54" i="5" s="1"/>
  <c r="X54" i="5"/>
  <c r="AG54" i="5" s="1"/>
  <c r="AP54" i="5" s="1"/>
  <c r="Z54" i="5"/>
  <c r="AI54" i="5" s="1"/>
  <c r="AR54" i="5" s="1"/>
  <c r="V54" i="5"/>
  <c r="AE54" i="5" s="1"/>
  <c r="AN54" i="5" s="1"/>
  <c r="J122" i="5"/>
  <c r="G122" i="5"/>
  <c r="H122" i="5"/>
  <c r="K122" i="5"/>
  <c r="I122" i="5"/>
  <c r="E122" i="5"/>
  <c r="L122" i="5"/>
  <c r="F122" i="5"/>
  <c r="V55" i="5" l="1"/>
  <c r="AE55" i="5" s="1"/>
  <c r="AN55" i="5" s="1"/>
  <c r="Z55" i="5"/>
  <c r="AI55" i="5" s="1"/>
  <c r="AR55" i="5" s="1"/>
  <c r="X55" i="5"/>
  <c r="AG55" i="5" s="1"/>
  <c r="AP55" i="5" s="1"/>
  <c r="Y55" i="5"/>
  <c r="AH55" i="5" s="1"/>
  <c r="AQ55" i="5" s="1"/>
  <c r="AA55" i="5"/>
  <c r="AJ55" i="5" s="1"/>
  <c r="AS55" i="5" s="1"/>
  <c r="AB55" i="5"/>
  <c r="AK55" i="5" s="1"/>
  <c r="AT55" i="5" s="1"/>
  <c r="AC55" i="5"/>
  <c r="AL55" i="5" s="1"/>
  <c r="AU55" i="5" s="1"/>
  <c r="W55" i="5"/>
  <c r="AF55" i="5" s="1"/>
  <c r="AO55" i="5" s="1"/>
  <c r="G123" i="5"/>
  <c r="J123" i="5"/>
  <c r="K123" i="5"/>
  <c r="I123" i="5"/>
  <c r="L123" i="5"/>
  <c r="F123" i="5"/>
  <c r="E123" i="5"/>
  <c r="H123" i="5"/>
  <c r="W56" i="5" l="1"/>
  <c r="AF56" i="5" s="1"/>
  <c r="AO56" i="5" s="1"/>
  <c r="AC56" i="5"/>
  <c r="AL56" i="5" s="1"/>
  <c r="AU56" i="5" s="1"/>
  <c r="AB56" i="5"/>
  <c r="AK56" i="5" s="1"/>
  <c r="AT56" i="5" s="1"/>
  <c r="AA56" i="5"/>
  <c r="AJ56" i="5" s="1"/>
  <c r="AS56" i="5" s="1"/>
  <c r="Y56" i="5"/>
  <c r="AH56" i="5" s="1"/>
  <c r="AQ56" i="5" s="1"/>
  <c r="X56" i="5"/>
  <c r="AG56" i="5" s="1"/>
  <c r="AP56" i="5" s="1"/>
  <c r="Z56" i="5"/>
  <c r="AI56" i="5" s="1"/>
  <c r="AR56" i="5" s="1"/>
  <c r="V56" i="5"/>
  <c r="AE56" i="5" s="1"/>
  <c r="AN56" i="5" s="1"/>
  <c r="G124" i="5"/>
  <c r="J124" i="5"/>
  <c r="L124" i="5"/>
  <c r="H124" i="5"/>
  <c r="E124" i="5"/>
  <c r="K124" i="5"/>
  <c r="F124" i="5"/>
  <c r="I124" i="5"/>
  <c r="V57" i="5" l="1"/>
  <c r="AE57" i="5" s="1"/>
  <c r="AN57" i="5" s="1"/>
  <c r="Z57" i="5"/>
  <c r="AI57" i="5" s="1"/>
  <c r="AR57" i="5" s="1"/>
  <c r="X57" i="5"/>
  <c r="AG57" i="5" s="1"/>
  <c r="AP57" i="5" s="1"/>
  <c r="Y57" i="5"/>
  <c r="AH57" i="5" s="1"/>
  <c r="AQ57" i="5" s="1"/>
  <c r="AA57" i="5"/>
  <c r="AJ57" i="5" s="1"/>
  <c r="AS57" i="5" s="1"/>
  <c r="AB57" i="5"/>
  <c r="AK57" i="5" s="1"/>
  <c r="AT57" i="5" s="1"/>
  <c r="AC57" i="5"/>
  <c r="AL57" i="5" s="1"/>
  <c r="AU57" i="5" s="1"/>
  <c r="W57" i="5"/>
  <c r="AF57" i="5" s="1"/>
  <c r="AO57" i="5" s="1"/>
  <c r="J125" i="5"/>
  <c r="I125" i="5"/>
  <c r="E125" i="5"/>
  <c r="H125" i="5"/>
  <c r="L125" i="5"/>
  <c r="G125" i="5"/>
  <c r="F125" i="5"/>
  <c r="K125" i="5"/>
  <c r="W58" i="5" l="1"/>
  <c r="AF58" i="5" s="1"/>
  <c r="AO58" i="5" s="1"/>
  <c r="AC58" i="5"/>
  <c r="AL58" i="5" s="1"/>
  <c r="AU58" i="5" s="1"/>
  <c r="AB58" i="5"/>
  <c r="AK58" i="5" s="1"/>
  <c r="AT58" i="5" s="1"/>
  <c r="AA58" i="5"/>
  <c r="AJ58" i="5" s="1"/>
  <c r="AS58" i="5" s="1"/>
  <c r="Y58" i="5"/>
  <c r="AH58" i="5" s="1"/>
  <c r="AQ58" i="5" s="1"/>
  <c r="X58" i="5"/>
  <c r="AG58" i="5" s="1"/>
  <c r="AP58" i="5" s="1"/>
  <c r="Z58" i="5"/>
  <c r="AI58" i="5" s="1"/>
  <c r="AR58" i="5" s="1"/>
  <c r="V58" i="5"/>
  <c r="AE58" i="5" s="1"/>
  <c r="AN58" i="5" s="1"/>
  <c r="J126" i="5"/>
  <c r="G126" i="5"/>
  <c r="L126" i="5"/>
  <c r="H126" i="5"/>
  <c r="F126" i="5"/>
  <c r="E126" i="5"/>
  <c r="I126" i="5"/>
  <c r="K126" i="5"/>
  <c r="V59" i="5" l="1"/>
  <c r="AE59" i="5" s="1"/>
  <c r="AN59" i="5" s="1"/>
  <c r="Z59" i="5"/>
  <c r="AI59" i="5" s="1"/>
  <c r="AR59" i="5" s="1"/>
  <c r="X59" i="5"/>
  <c r="AG59" i="5" s="1"/>
  <c r="AP59" i="5" s="1"/>
  <c r="Y59" i="5"/>
  <c r="AH59" i="5" s="1"/>
  <c r="AQ59" i="5" s="1"/>
  <c r="AA59" i="5"/>
  <c r="AJ59" i="5" s="1"/>
  <c r="AS59" i="5" s="1"/>
  <c r="AB59" i="5"/>
  <c r="AK59" i="5" s="1"/>
  <c r="AT59" i="5" s="1"/>
  <c r="AC59" i="5"/>
  <c r="AL59" i="5" s="1"/>
  <c r="AU59" i="5" s="1"/>
  <c r="W59" i="5"/>
  <c r="AF59" i="5" s="1"/>
  <c r="AO59" i="5" s="1"/>
  <c r="L127" i="5"/>
  <c r="I127" i="5"/>
  <c r="H127" i="5"/>
  <c r="G127" i="5"/>
  <c r="J127" i="5"/>
  <c r="K127" i="5"/>
  <c r="E127" i="5"/>
  <c r="F127" i="5"/>
  <c r="Y60" i="5" l="1"/>
  <c r="AH60" i="5" s="1"/>
  <c r="AQ60" i="5" s="1"/>
  <c r="Z60" i="5"/>
  <c r="AI60" i="5" s="1"/>
  <c r="AR60" i="5" s="1"/>
  <c r="AA60" i="5"/>
  <c r="AJ60" i="5" s="1"/>
  <c r="AS60" i="5" s="1"/>
  <c r="AB60" i="5"/>
  <c r="AK60" i="5" s="1"/>
  <c r="AT60" i="5" s="1"/>
  <c r="W60" i="5"/>
  <c r="AF60" i="5" s="1"/>
  <c r="AO60" i="5" s="1"/>
  <c r="AC60" i="5"/>
  <c r="AL60" i="5" s="1"/>
  <c r="AU60" i="5" s="1"/>
  <c r="X60" i="5"/>
  <c r="AG60" i="5" s="1"/>
  <c r="AP60" i="5" s="1"/>
  <c r="V60" i="5"/>
  <c r="AE60" i="5" s="1"/>
  <c r="AN60" i="5" s="1"/>
  <c r="G128" i="5"/>
  <c r="K128" i="5"/>
  <c r="J128" i="5"/>
  <c r="H128" i="5"/>
  <c r="L128" i="5"/>
  <c r="F128" i="5"/>
  <c r="E128" i="5"/>
  <c r="I128" i="5"/>
  <c r="V61" i="5" l="1"/>
  <c r="AE61" i="5" s="1"/>
  <c r="AN61" i="5" s="1"/>
  <c r="AC61" i="5"/>
  <c r="AL61" i="5" s="1"/>
  <c r="AU61" i="5" s="1"/>
  <c r="AB61" i="5"/>
  <c r="AK61" i="5" s="1"/>
  <c r="AT61" i="5" s="1"/>
  <c r="Z61" i="5"/>
  <c r="AI61" i="5" s="1"/>
  <c r="AR61" i="5" s="1"/>
  <c r="X61" i="5"/>
  <c r="AG61" i="5" s="1"/>
  <c r="AP61" i="5" s="1"/>
  <c r="W61" i="5"/>
  <c r="AF61" i="5" s="1"/>
  <c r="AO61" i="5" s="1"/>
  <c r="AA61" i="5"/>
  <c r="AJ61" i="5" s="1"/>
  <c r="AS61" i="5" s="1"/>
  <c r="Y61" i="5"/>
  <c r="AH61" i="5" s="1"/>
  <c r="AQ61" i="5" s="1"/>
  <c r="H129" i="5"/>
  <c r="J129" i="5"/>
  <c r="G129" i="5"/>
  <c r="L129" i="5"/>
  <c r="F129" i="5"/>
  <c r="K129" i="5"/>
  <c r="I129" i="5"/>
  <c r="E129" i="5"/>
  <c r="Y62" i="5" l="1"/>
  <c r="AH62" i="5" s="1"/>
  <c r="AQ62" i="5" s="1"/>
  <c r="W62" i="5"/>
  <c r="AF62" i="5" s="1"/>
  <c r="AO62" i="5" s="1"/>
  <c r="Z62" i="5"/>
  <c r="AI62" i="5" s="1"/>
  <c r="AR62" i="5" s="1"/>
  <c r="AC62" i="5"/>
  <c r="AL62" i="5" s="1"/>
  <c r="AU62" i="5" s="1"/>
  <c r="AA62" i="5"/>
  <c r="AJ62" i="5" s="1"/>
  <c r="AS62" i="5" s="1"/>
  <c r="X62" i="5"/>
  <c r="AG62" i="5" s="1"/>
  <c r="AP62" i="5" s="1"/>
  <c r="AB62" i="5"/>
  <c r="AK62" i="5" s="1"/>
  <c r="AT62" i="5" s="1"/>
  <c r="V62" i="5"/>
  <c r="AE62" i="5" s="1"/>
  <c r="AN62" i="5" s="1"/>
  <c r="H130" i="5"/>
  <c r="F130" i="5"/>
  <c r="I130" i="5"/>
  <c r="E130" i="5"/>
  <c r="K130" i="5"/>
  <c r="L130" i="5"/>
  <c r="J130" i="5"/>
  <c r="G130" i="5"/>
  <c r="V63" i="5" l="1"/>
  <c r="AE63" i="5" s="1"/>
  <c r="AN63" i="5" s="1"/>
  <c r="X63" i="5"/>
  <c r="AG63" i="5" s="1"/>
  <c r="AP63" i="5" s="1"/>
  <c r="AC63" i="5"/>
  <c r="AL63" i="5" s="1"/>
  <c r="AU63" i="5" s="1"/>
  <c r="W63" i="5"/>
  <c r="AF63" i="5" s="1"/>
  <c r="AO63" i="5" s="1"/>
  <c r="AB63" i="5"/>
  <c r="AK63" i="5" s="1"/>
  <c r="AT63" i="5" s="1"/>
  <c r="AA63" i="5"/>
  <c r="AJ63" i="5" s="1"/>
  <c r="AS63" i="5" s="1"/>
  <c r="Z63" i="5"/>
  <c r="AI63" i="5" s="1"/>
  <c r="AR63" i="5" s="1"/>
  <c r="Y63" i="5"/>
  <c r="AH63" i="5" s="1"/>
  <c r="AQ63" i="5" s="1"/>
  <c r="L131" i="5"/>
  <c r="E131" i="5"/>
  <c r="I131" i="5"/>
  <c r="J131" i="5"/>
  <c r="G131" i="5"/>
  <c r="H131" i="5"/>
  <c r="K131" i="5"/>
  <c r="F131" i="5"/>
  <c r="Y64" i="5" l="1"/>
  <c r="AH64" i="5" s="1"/>
  <c r="AQ64" i="5" s="1"/>
  <c r="AA64" i="5"/>
  <c r="AJ64" i="5" s="1"/>
  <c r="AS64" i="5" s="1"/>
  <c r="W64" i="5"/>
  <c r="AF64" i="5" s="1"/>
  <c r="AO64" i="5" s="1"/>
  <c r="X64" i="5"/>
  <c r="AG64" i="5" s="1"/>
  <c r="AP64" i="5" s="1"/>
  <c r="Z64" i="5"/>
  <c r="AI64" i="5" s="1"/>
  <c r="AR64" i="5" s="1"/>
  <c r="AB64" i="5"/>
  <c r="AK64" i="5" s="1"/>
  <c r="AT64" i="5" s="1"/>
  <c r="AC64" i="5"/>
  <c r="AL64" i="5" s="1"/>
  <c r="AU64" i="5" s="1"/>
  <c r="V64" i="5"/>
  <c r="AE64" i="5" s="1"/>
  <c r="AN64" i="5" s="1"/>
  <c r="K132" i="5"/>
  <c r="I132" i="5"/>
  <c r="G132" i="5"/>
  <c r="E132" i="5"/>
  <c r="F132" i="5"/>
  <c r="H132" i="5"/>
  <c r="L132" i="5"/>
  <c r="J132" i="5"/>
  <c r="V65" i="5" l="1"/>
  <c r="AE65" i="5" s="1"/>
  <c r="AN65" i="5" s="1"/>
  <c r="AB65" i="5"/>
  <c r="AK65" i="5" s="1"/>
  <c r="AT65" i="5" s="1"/>
  <c r="X65" i="5"/>
  <c r="AG65" i="5" s="1"/>
  <c r="AP65" i="5" s="1"/>
  <c r="AA65" i="5"/>
  <c r="AJ65" i="5" s="1"/>
  <c r="AS65" i="5" s="1"/>
  <c r="AC65" i="5"/>
  <c r="AL65" i="5" s="1"/>
  <c r="AU65" i="5" s="1"/>
  <c r="Z65" i="5"/>
  <c r="AI65" i="5" s="1"/>
  <c r="AR65" i="5" s="1"/>
  <c r="W65" i="5"/>
  <c r="AF65" i="5" s="1"/>
  <c r="AO65" i="5" s="1"/>
  <c r="Y65" i="5"/>
  <c r="AH65" i="5" s="1"/>
  <c r="AQ65" i="5" s="1"/>
</calcChain>
</file>

<file path=xl/sharedStrings.xml><?xml version="1.0" encoding="utf-8"?>
<sst xmlns="http://schemas.openxmlformats.org/spreadsheetml/2006/main" count="487" uniqueCount="259">
  <si>
    <t xml:space="preserve"> </t>
  </si>
  <si>
    <t>30_формула</t>
  </si>
  <si>
    <t>40_формула</t>
  </si>
  <si>
    <t>50_формула</t>
  </si>
  <si>
    <t>60_формула</t>
  </si>
  <si>
    <t>m, массовый расход, кг/сек</t>
  </si>
  <si>
    <t>q, обьемный расход, м3/сек</t>
  </si>
  <si>
    <t>E^, степень сжатия  в степени (k-1)/k</t>
  </si>
  <si>
    <t>E, степень сжатия</t>
  </si>
  <si>
    <t>Температура входа, К</t>
  </si>
  <si>
    <t>Газовая постоянная R</t>
  </si>
  <si>
    <t>Коэф. Политропы</t>
  </si>
  <si>
    <t>КПД</t>
  </si>
  <si>
    <t>Плотнгсть газа в пов, условиях, кг/м3</t>
  </si>
  <si>
    <t xml:space="preserve">ГПА16-56 1.44 X 4 </t>
  </si>
  <si>
    <t xml:space="preserve">НЦ 16-41 1.45 X 4 </t>
  </si>
  <si>
    <t xml:space="preserve">НЦ 16-45 1.7 X 4 </t>
  </si>
  <si>
    <t xml:space="preserve">ГПА16-56 2.2 X 4 </t>
  </si>
  <si>
    <t xml:space="preserve">НЦ 16-41 2.2 X 4 </t>
  </si>
  <si>
    <t xml:space="preserve">ГПА16-56 1.7 X 4 </t>
  </si>
  <si>
    <t xml:space="preserve">НЦ 16-56 1.7 X 4 </t>
  </si>
  <si>
    <t>v</t>
  </si>
  <si>
    <t>Огибающая</t>
  </si>
  <si>
    <t xml:space="preserve">ГПА16 76-1.44 X 5 </t>
  </si>
  <si>
    <t>Частота, об/мин</t>
  </si>
  <si>
    <t>Вн. мощность, кВт</t>
  </si>
  <si>
    <t>Режим</t>
  </si>
  <si>
    <t>Начальное давление, МПа</t>
  </si>
  <si>
    <t>Конечное давление, МПа</t>
  </si>
  <si>
    <t>Степень сжатия, д. ед.</t>
  </si>
  <si>
    <t>Кол-ов рабочих нагнетателей, шт</t>
  </si>
  <si>
    <t>Расход топлива, тыс куб/сут</t>
  </si>
  <si>
    <t>Конечная температура, С</t>
  </si>
  <si>
    <t>Удаленность от точки помпажа, д. ед</t>
  </si>
  <si>
    <t>Объемный расход, м3/мин</t>
  </si>
  <si>
    <t>true</t>
  </si>
  <si>
    <t>Политропный процесс</t>
  </si>
  <si>
    <t>ГПА16-76 1.7</t>
  </si>
  <si>
    <t>ГПА16-76 2.2</t>
  </si>
  <si>
    <t>ГПА16-76 1.44</t>
  </si>
  <si>
    <t>ГПА16-76 3.0</t>
  </si>
  <si>
    <t>ГПА16-41 2.2 + ГПА16-76 3.0</t>
  </si>
  <si>
    <t xml:space="preserve">ГПА 16-76 1.7 X 5 </t>
  </si>
  <si>
    <t xml:space="preserve">ГПА 16-76 2.2 X 5 </t>
  </si>
  <si>
    <t xml:space="preserve">СПЧ-16-76-3.0(комсом) X 5 </t>
  </si>
  <si>
    <t>Превышено значение пропускной способности</t>
  </si>
  <si>
    <t xml:space="preserve">СПЧ-16С 45-3,0 (Комс_Баз) X 3 СПЧ-16-76-3.0(комсом) X 2 </t>
  </si>
  <si>
    <t>5380+4750</t>
  </si>
  <si>
    <t>10806+15864</t>
  </si>
  <si>
    <t>true+true</t>
  </si>
  <si>
    <t>0.9+3.08</t>
  </si>
  <si>
    <t>3.14+7.37</t>
  </si>
  <si>
    <t>3.5+2.4</t>
  </si>
  <si>
    <t>2+1</t>
  </si>
  <si>
    <t>178+117</t>
  </si>
  <si>
    <t>142+125</t>
  </si>
  <si>
    <t>59+98</t>
  </si>
  <si>
    <t>381+226</t>
  </si>
  <si>
    <t>5440+5440</t>
  </si>
  <si>
    <t>9639+15622</t>
  </si>
  <si>
    <t>0.72+2.27</t>
  </si>
  <si>
    <t>2.33+7.37</t>
  </si>
  <si>
    <t>3.22+3.25</t>
  </si>
  <si>
    <t>3+2</t>
  </si>
  <si>
    <t>247+231</t>
  </si>
  <si>
    <t>136+166</t>
  </si>
  <si>
    <t>80+49</t>
  </si>
  <si>
    <t>443+217</t>
  </si>
  <si>
    <t>5440+4750</t>
  </si>
  <si>
    <t>13505+15877</t>
  </si>
  <si>
    <t>1+3.08</t>
  </si>
  <si>
    <t>3.14+7.38</t>
  </si>
  <si>
    <t>3.14+2.4</t>
  </si>
  <si>
    <t>311+234</t>
  </si>
  <si>
    <t>134+125</t>
  </si>
  <si>
    <t>84+97</t>
  </si>
  <si>
    <t>454+225</t>
  </si>
  <si>
    <t>Превышен предел конечного давления</t>
  </si>
  <si>
    <t xml:space="preserve">СПЧ 16-45-2.2 X 2 СПЧ-16-76-3.0(комсом) X 3 </t>
  </si>
  <si>
    <t>5240+4750</t>
  </si>
  <si>
    <t>7586+15858</t>
  </si>
  <si>
    <t>1.21+3.07</t>
  </si>
  <si>
    <t>3.13+7.36</t>
  </si>
  <si>
    <t>2.59+2.39</t>
  </si>
  <si>
    <t>142+117</t>
  </si>
  <si>
    <t>102+125</t>
  </si>
  <si>
    <t>2+98</t>
  </si>
  <si>
    <t>280+226</t>
  </si>
  <si>
    <t>5540+5440</t>
  </si>
  <si>
    <t>9387+15623</t>
  </si>
  <si>
    <t>0.97+2.27</t>
  </si>
  <si>
    <t>2.41+3.25</t>
  </si>
  <si>
    <t>2+2</t>
  </si>
  <si>
    <t>162+231</t>
  </si>
  <si>
    <t>90+166</t>
  </si>
  <si>
    <t>64+49</t>
  </si>
  <si>
    <t>494+217</t>
  </si>
  <si>
    <t>11310+15030</t>
  </si>
  <si>
    <t>1.16+2.26</t>
  </si>
  <si>
    <t>2.32+7.37</t>
  </si>
  <si>
    <t>1.99+3.27</t>
  </si>
  <si>
    <t>2+3</t>
  </si>
  <si>
    <t>183+337</t>
  </si>
  <si>
    <t>78+167</t>
  </si>
  <si>
    <t>92+39</t>
  </si>
  <si>
    <t>583+208</t>
  </si>
  <si>
    <t>5540+5200</t>
  </si>
  <si>
    <t>13100+15984</t>
  </si>
  <si>
    <t>1.35+2.51</t>
  </si>
  <si>
    <t>2.57+7.37</t>
  </si>
  <si>
    <t>1.9+2.93</t>
  </si>
  <si>
    <t>203+352</t>
  </si>
  <si>
    <t>76+151</t>
  </si>
  <si>
    <t>97+69</t>
  </si>
  <si>
    <t>599+223</t>
  </si>
  <si>
    <t>5540+4870</t>
  </si>
  <si>
    <t>15196+15877</t>
  </si>
  <si>
    <t>1.57+2.9</t>
  </si>
  <si>
    <t>2.96+7.37</t>
  </si>
  <si>
    <t>1.89+2.54</t>
  </si>
  <si>
    <t>226+351</t>
  </si>
  <si>
    <t>76+132</t>
  </si>
  <si>
    <t>98+88</t>
  </si>
  <si>
    <t>602+224</t>
  </si>
  <si>
    <t>5300+4630</t>
  </si>
  <si>
    <t>15982+15997</t>
  </si>
  <si>
    <t>1.87+3.33</t>
  </si>
  <si>
    <t>3.39+7.65</t>
  </si>
  <si>
    <t>1.81+2.3</t>
  </si>
  <si>
    <t>235+353</t>
  </si>
  <si>
    <t>71+120</t>
  </si>
  <si>
    <t>97+100</t>
  </si>
  <si>
    <t>573+222</t>
  </si>
  <si>
    <t>Прогноз</t>
  </si>
  <si>
    <t xml:space="preserve">  </t>
  </si>
  <si>
    <t>35.</t>
  </si>
  <si>
    <t>Национальный исследовательский Томский государственный университет, д.т.н., профессору Алтуниной Л.К.</t>
  </si>
  <si>
    <t>634000, Томск, проспект Ленина, д. 36</t>
  </si>
  <si>
    <t>36.</t>
  </si>
  <si>
    <t>Институт стратегических исследований Республики Башкортостан, д.т.н., профессору Андрееву В.Е.</t>
  </si>
  <si>
    <t>450075, г. Уфа, проспект Октября, д. 129 к. 3</t>
  </si>
  <si>
    <t>37.</t>
  </si>
  <si>
    <t>ООО «РН-БашНИПИнефть», д.ф.-м.н., профессору Байкову В.А.</t>
  </si>
  <si>
    <t>450006, г. Уфа, ул. Ленина, д. 86/1</t>
  </si>
  <si>
    <t>38.</t>
  </si>
  <si>
    <t>РГУ нефти и газа (НИУ) имени И.М: Губкина, д.ф.-м.н., профессору Баранову А.В.</t>
  </si>
  <si>
    <t>119991, г. Москва, Ленинский пр-т., д. 65</t>
  </si>
  <si>
    <t>39.</t>
  </si>
  <si>
    <t>Институт физики Земли им. О.Ю. Шмидта РАН, д.ф.-м.н., профессору Баюк И.О.</t>
  </si>
  <si>
    <t>123995, г. Москва, Б. Грузинская ул., 10 строение 1</t>
  </si>
  <si>
    <t>40.</t>
  </si>
  <si>
    <t>ООО «Газпромнефть НТЦ», д.т.н., профессору Брусиловскому А.И.</t>
  </si>
  <si>
    <t>190000, г. Санкт-Петербург, наб. рейки Мойки, д. 75-79, литер Д</t>
  </si>
  <si>
    <t>41.</t>
  </si>
  <si>
    <t>Восточно-Сибирский государственный университет технологий и управления, д.т.н., профессору Дембеловой Т.С.</t>
  </si>
  <si>
    <t>670013, г. Улан-Удэ, ул. Ключевская, д. 40В, строение 1</t>
  </si>
  <si>
    <t>42.</t>
  </si>
  <si>
    <t>Российский государственный геологоразведочный университет им. Серго Орджоникидзе, д.г.-м.н., профессору Керимову В.Ю.</t>
  </si>
  <si>
    <t>117485, г. Москва, ул. Миклухо-Маклая, д. 23</t>
  </si>
  <si>
    <t>43.</t>
  </si>
  <si>
    <t>Бухарский государственный университет, д.т.н., профессору Мирзоеву А.А.</t>
  </si>
  <si>
    <t>705018, Республика Узбекистан, г. Бухара, у. Мухаммад Икбол, д. 11</t>
  </si>
  <si>
    <t>44.</t>
  </si>
  <si>
    <t>Альметьевский государственный нефтяной институт, д.т.н., профессору Насыбуллину А.В.</t>
  </si>
  <si>
    <t>423458, Респ. Татарстан, г. Альметьевск, ул. Ленина, д. 2</t>
  </si>
  <si>
    <t>45.</t>
  </si>
  <si>
    <t>ООО «Тюменский нефтяной научный центр», д.т.н., профессору Салимову О.В.</t>
  </si>
  <si>
    <t>625002, г. Тюмень, ул. Осипенко, 79/1</t>
  </si>
  <si>
    <t>46.</t>
  </si>
  <si>
    <t>ПАО «Газпромнефть», д.т.н., профессору Хасанову М.М.</t>
  </si>
  <si>
    <t>190000, г. Санкт-Петербург, ул. Почтамтская, д. 3-5 литера А Ч</t>
  </si>
  <si>
    <t>47.</t>
  </si>
  <si>
    <t>Московский государственный университет им. М.В. Ломоносова, д.ф.-м.н., профессору Эглит М.Э.</t>
  </si>
  <si>
    <t>119234, г. Москва, тер. Ленинские Горы, д. 1</t>
  </si>
  <si>
    <t>48.</t>
  </si>
  <si>
    <t>НИУ Московский энергетический институт, д.т.н., профессору Янькову Г.Г.</t>
  </si>
  <si>
    <t>111250, г. Москва, ул. Красноказарменная, д. 14</t>
  </si>
  <si>
    <t>49.</t>
  </si>
  <si>
    <t>Московский государственный технический университет им. Н.Э. Баумана, д.ф.-м.н., профессору Чиркову А.Ю.</t>
  </si>
  <si>
    <t>105005, г. Москва, 2-я Бауманская ул., д. 5, стр. 1</t>
  </si>
  <si>
    <t>50.</t>
  </si>
  <si>
    <t>РГУ нефти и газа (НИУ) имени И.М. Губкина, д.т.н., профессору Кадету В.В.</t>
  </si>
  <si>
    <t>51.</t>
  </si>
  <si>
    <t>НИУ Московский энергетический институт, д.т.н., профессору Архарову А.М.</t>
  </si>
  <si>
    <t>52.</t>
  </si>
  <si>
    <t>Восточно-Сибирский государственный университет технологий и управления, д.т.н., профессору Бадмаеву Б.Б.</t>
  </si>
  <si>
    <t>53.</t>
  </si>
  <si>
    <t>Казанский (Приволжский) федеральный университет, д.ф.-м.н., профессору Поташеву К.А.</t>
  </si>
  <si>
    <t>420008, Казань, ул. Кремлевская, 18</t>
  </si>
  <si>
    <t>54.</t>
  </si>
  <si>
    <t>Научно-производственное предприятие «ВМ система», д.т.н., профессору Валееву М.Д.</t>
  </si>
  <si>
    <t>450516, Респ. Башкортостан, Уфимский р-н, с. Кумпекуль, ул. Береговая, д. 46</t>
  </si>
  <si>
    <t>55.</t>
  </si>
  <si>
    <t>ООО «РН-БалнНИПИнефть», д.ф.-м.н., профессору Газизову Р.К.</t>
  </si>
  <si>
    <t>56.</t>
  </si>
  <si>
    <t>РГУ нефти и газа (НИУ) имени И.М. Губкина, д.т.н., профессору Полякову В.А.</t>
  </si>
  <si>
    <t>57.</t>
  </si>
  <si>
    <t>РГУ нефти и газа (НИУ) имени И.М. Губкина, д.г.-м.н., профессору Якушеву В.С.</t>
  </si>
  <si>
    <t>58.</t>
  </si>
  <si>
    <t>Тюменский индустриальный университет, д.т.н., профессору Грачёву С.И.</t>
  </si>
  <si>
    <t>625000, г. Тюмень, ул. Володарского, д. 38</t>
  </si>
  <si>
    <t>59.</t>
  </si>
  <si>
    <t>НИУ Московский энергетический институт, д.т.н., профессору Ягову В.В.</t>
  </si>
  <si>
    <t>60.</t>
  </si>
  <si>
    <t>Институт тепло- и массообмена им. А.В. Лыкова, НАН РБ, д.ф.-м.н., академику НАН РБ Пенязькову О.Г.</t>
  </si>
  <si>
    <t>220072, Беларусь, г. Минск, ул. П. Бровки, 15</t>
  </si>
  <si>
    <t>61.</t>
  </si>
  <si>
    <t>Институт теплофизики им. С.С. Кутателадзе СО РАН, д.ф.-м.н., профессору Бердникову В.С.</t>
  </si>
  <si>
    <t>630090, г. Новосибирск, проспект Академика Лаврентьева, д. 1</t>
  </si>
  <si>
    <t>62.</t>
  </si>
  <si>
    <t>Институт теоретической и прикладной механики им. С.А. Христиановича СО РАН, д.ф.-м.н., профессору Маслову А.А.</t>
  </si>
  <si>
    <t>630090, г. Новосибирск, ул. Институтская, 4/1</t>
  </si>
  <si>
    <t>63.</t>
  </si>
  <si>
    <t>НИУ Московский энергетический институт, д.т.н., профессору Дмитриеву А.С.</t>
  </si>
  <si>
    <t>64.</t>
  </si>
  <si>
    <t>Институт тепло- и массообмена им. А.В. Лыкова, НАН РБ, д.ф.-м.н., профессору Фисенко С.П.</t>
  </si>
  <si>
    <t>65.</t>
  </si>
  <si>
    <t>Национальный исследовательский университет ИТМО, д.т.н., профессору Бараненко А.В.</t>
  </si>
  <si>
    <t>197101, г. Санкт-Петербург, Крошеркский проспект, 49, литер А</t>
  </si>
  <si>
    <t>66.</t>
  </si>
  <si>
    <t>Московский государственный технический университет им. Н.Э. Баумана, д.т.н., профессору Чайнову Н.Д.</t>
  </si>
  <si>
    <t>67.</t>
  </si>
  <si>
    <t>Петербургский государственный университет путей сообщения Императора Александра I, д.т.н., профессору Киселёву И.Г.</t>
  </si>
  <si>
    <t>190031, г. Санкт-Петербург, Московский пр., д. 9</t>
  </si>
  <si>
    <t>68.</t>
  </si>
  <si>
    <t>Московский государственный технический университет им. Н.Э. Баумана, д.т.н., профессору Солонину В.И.</t>
  </si>
  <si>
    <t>69.</t>
  </si>
  <si>
    <t>Институт тепло- и массообмена им. А.В. Лыкова, НАН РБ, д.ф.-м.н., профессору Сметанникову А.С.</t>
  </si>
  <si>
    <t>70.</t>
  </si>
  <si>
    <t>Казанский национальный исследовательский технический университет им. А.Н. Туполева-КАИ, д.т.н., профессору Алтунину В.А.</t>
  </si>
  <si>
    <t>420111 г. Казань, ул. К. Маркса, 10</t>
  </si>
  <si>
    <t>71.</t>
  </si>
  <si>
    <t>Санкт-Петербургский государственный морской технический университет, д.т.н., профессору Рыкову А.В.</t>
  </si>
  <si>
    <t>190121, г. Санкт-Петербург, ул. Лонманская, 3</t>
  </si>
  <si>
    <t>72.</t>
  </si>
  <si>
    <t>Национальный исследовательский Томский государственный университет, д.ф.-м.н., профессору Старченко А.В.</t>
  </si>
  <si>
    <t>634050, г. Томск, пр. Ленина, 36</t>
  </si>
  <si>
    <t>73.</t>
  </si>
  <si>
    <t>Казанский национальный исследовательский технический университет им. А.Н. Туполева-КАИ, д.т.н., профессору Глебову Г.А.</t>
  </si>
  <si>
    <t>74.</t>
  </si>
  <si>
    <t>Национальный исследовательский Томский государственный университет, д.ф.-м.н., профессору Глазунову А.А.</t>
  </si>
  <si>
    <t>75.</t>
  </si>
  <si>
    <t>Институт тепло- и массообмена им. А.В. Лыкова, НАН РБ, д.ф.-м.н., члену-корреспонденту НАН РБ Гринчуку П.С.</t>
  </si>
  <si>
    <t>76.</t>
  </si>
  <si>
    <t>Исследовательский центр им. М.В. Келдыша, д.т.н., профессору Кочеткову Ю.М.</t>
  </si>
  <si>
    <t>125438, г. Москва Онежская ул., д. 8</t>
  </si>
  <si>
    <t>77.</t>
  </si>
  <si>
    <t>Казанский национальный исследовательский технический университет им. А.Н. Туполева-КАИ, д.т.н., профессору Попову И.А.</t>
  </si>
  <si>
    <t>78.</t>
  </si>
  <si>
    <t>Московский авиационный институт (национальный исследовательский университет), д.т.н., профессору Ненарокомову А.В.</t>
  </si>
  <si>
    <t>125993, г. Москва, Волоколамское шоссе, д. 4</t>
  </si>
  <si>
    <t>79.</t>
  </si>
  <si>
    <t>Национальный исследовательский Томский государственный университет, д.ф.-м.н., профессору Прокофьеву В.Г.</t>
  </si>
  <si>
    <t>80.</t>
  </si>
  <si>
    <t>Уральский федеральный университет им. первого Президента России Б.Н. Ельцина, д.ф.-м.н., профессору Купряжкину А.Я.</t>
  </si>
  <si>
    <t>620002, г. Екатеринбург, ул. Мира, 19</t>
  </si>
  <si>
    <t>81.</t>
  </si>
  <si>
    <t>Удмуртский федеральный исследовательский центр УрО РАН, д.т.н., профессору Макарову С. С.</t>
  </si>
  <si>
    <t>426067, г. Ижевск, ул. им. Татьяны Барамзиной, 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</si>
</sst>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р_._-;\-* #,##0.00_р_._-;_-* &quot;-&quot;??_р_._-;_-@_-"/>
    <numFmt numFmtId="165" formatCode="0.0"/>
  </numFmts>
  <fonts count="30" x14ac:knownFonts="1">
    <font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2"/>
      <name val="Arial Cyr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2"/>
      <name val="Times New Roman"/>
      <family val="1"/>
      <charset val="204"/>
    </font>
    <font>
      <sz val="10"/>
      <name val="Times New Roman"/>
      <family val="1"/>
      <charset val="204"/>
    </font>
    <font>
      <sz val="10"/>
      <color theme="1"/>
      <name val="Times New Roman"/>
      <family val="2"/>
      <charset val="204"/>
    </font>
    <font>
      <sz val="12"/>
      <color theme="1"/>
      <name val="Times New Roman"/>
      <family val="2"/>
      <charset val="204"/>
    </font>
    <font>
      <sz val="10"/>
      <name val="Times New Roman Cyr"/>
      <charset val="204"/>
    </font>
    <font>
      <sz val="11"/>
      <color rgb="FFFF0000"/>
      <name val="Calibri"/>
      <family val="2"/>
      <charset val="204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6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152">
    <xf numFmtId="0" fontId="0" fillId="0" borderId="0"/>
    <xf numFmtId="0" fontId="3" fillId="0" borderId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6" fillId="8" borderId="2" applyNumberFormat="0" applyAlignment="0" applyProtection="0"/>
    <xf numFmtId="0" fontId="6" fillId="8" borderId="2" applyNumberFormat="0" applyAlignment="0" applyProtection="0"/>
    <xf numFmtId="0" fontId="7" fillId="21" borderId="3" applyNumberFormat="0" applyAlignment="0" applyProtection="0"/>
    <xf numFmtId="0" fontId="7" fillId="21" borderId="3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0" fontId="9" fillId="0" borderId="4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7" applyNumberFormat="0" applyFill="0" applyAlignment="0" applyProtection="0"/>
    <xf numFmtId="0" fontId="12" fillId="0" borderId="7" applyNumberFormat="0" applyFill="0" applyAlignment="0" applyProtection="0"/>
    <xf numFmtId="0" fontId="13" fillId="22" borderId="8" applyNumberFormat="0" applyAlignment="0" applyProtection="0"/>
    <xf numFmtId="0" fontId="13" fillId="22" borderId="8" applyNumberFormat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23" borderId="0" applyNumberFormat="0" applyBorder="0" applyAlignment="0" applyProtection="0"/>
    <xf numFmtId="0" fontId="15" fillId="23" borderId="0" applyNumberFormat="0" applyBorder="0" applyAlignment="0" applyProtection="0"/>
    <xf numFmtId="0" fontId="2" fillId="0" borderId="0"/>
    <xf numFmtId="0" fontId="2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6" fillId="24" borderId="0"/>
    <xf numFmtId="0" fontId="16" fillId="24" borderId="0"/>
    <xf numFmtId="0" fontId="16" fillId="24" borderId="0"/>
    <xf numFmtId="0" fontId="16" fillId="24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3" fillId="25" borderId="9" applyNumberFormat="0" applyFont="0" applyAlignment="0" applyProtection="0"/>
    <xf numFmtId="0" fontId="4" fillId="25" borderId="9" applyNumberFormat="0" applyFont="0" applyAlignment="0" applyProtection="0"/>
    <xf numFmtId="0" fontId="4" fillId="25" borderId="9" applyNumberFormat="0" applyFont="0" applyAlignment="0" applyProtection="0"/>
    <xf numFmtId="0" fontId="19" fillId="0" borderId="10" applyNumberFormat="0" applyFill="0" applyAlignment="0" applyProtection="0"/>
    <xf numFmtId="0" fontId="19" fillId="0" borderId="10" applyNumberFormat="0" applyFill="0" applyAlignment="0" applyProtection="0"/>
    <xf numFmtId="0" fontId="22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4" fillId="0" borderId="0"/>
    <xf numFmtId="0" fontId="4" fillId="0" borderId="0"/>
    <xf numFmtId="0" fontId="2" fillId="0" borderId="0"/>
    <xf numFmtId="0" fontId="23" fillId="0" borderId="0"/>
    <xf numFmtId="0" fontId="2" fillId="0" borderId="0"/>
    <xf numFmtId="0" fontId="3" fillId="0" borderId="0"/>
    <xf numFmtId="0" fontId="24" fillId="0" borderId="0"/>
    <xf numFmtId="0" fontId="2" fillId="0" borderId="0"/>
    <xf numFmtId="0" fontId="3" fillId="0" borderId="0"/>
    <xf numFmtId="0" fontId="24" fillId="0" borderId="0"/>
    <xf numFmtId="0" fontId="2" fillId="0" borderId="0"/>
    <xf numFmtId="0" fontId="25" fillId="0" borderId="0"/>
    <xf numFmtId="0" fontId="25" fillId="0" borderId="0"/>
    <xf numFmtId="0" fontId="22" fillId="0" borderId="0"/>
    <xf numFmtId="0" fontId="22" fillId="0" borderId="0"/>
    <xf numFmtId="0" fontId="25" fillId="0" borderId="0"/>
    <xf numFmtId="0" fontId="25" fillId="0" borderId="0"/>
    <xf numFmtId="0" fontId="22" fillId="0" borderId="0"/>
    <xf numFmtId="0" fontId="25" fillId="0" borderId="0"/>
    <xf numFmtId="0" fontId="3" fillId="0" borderId="0"/>
    <xf numFmtId="0" fontId="2" fillId="0" borderId="0"/>
    <xf numFmtId="0" fontId="26" fillId="0" borderId="0"/>
    <xf numFmtId="0" fontId="27" fillId="0" borderId="0"/>
    <xf numFmtId="0" fontId="2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" fillId="0" borderId="0"/>
    <xf numFmtId="0" fontId="2" fillId="0" borderId="0"/>
    <xf numFmtId="0" fontId="2" fillId="0" borderId="0"/>
    <xf numFmtId="0" fontId="28" fillId="0" borderId="0"/>
    <xf numFmtId="0" fontId="23" fillId="0" borderId="0"/>
    <xf numFmtId="0" fontId="2" fillId="0" borderId="0"/>
    <xf numFmtId="0" fontId="2" fillId="0" borderId="0"/>
    <xf numFmtId="0" fontId="27" fillId="0" borderId="0"/>
  </cellStyleXfs>
  <cellXfs count="45">
    <xf numFmtId="0" fontId="0" fillId="0" borderId="0" xfId="0"/>
    <xf numFmtId="0" fontId="0" fillId="0" borderId="0" xfId="0"/>
    <xf numFmtId="0" fontId="0" fillId="0" borderId="0" xfId="0"/>
    <xf numFmtId="1" fontId="0" fillId="0" borderId="0" xfId="0" applyNumberFormat="1"/>
    <xf numFmtId="0" fontId="0" fillId="0" borderId="0" xfId="0"/>
    <xf numFmtId="1" fontId="0" fillId="0" borderId="0" xfId="0" applyNumberFormat="1"/>
    <xf numFmtId="0" fontId="0" fillId="0" borderId="0" xfId="0"/>
    <xf numFmtId="0" fontId="0" fillId="0" borderId="0" xfId="0"/>
    <xf numFmtId="1" fontId="0" fillId="0" borderId="0" xfId="0" applyNumberFormat="1"/>
    <xf numFmtId="0" fontId="1" fillId="0" borderId="0" xfId="0" applyFont="1"/>
    <xf numFmtId="0" fontId="0" fillId="0" borderId="0" xfId="0"/>
    <xf numFmtId="0" fontId="0" fillId="0" borderId="0" xfId="0"/>
    <xf numFmtId="0" fontId="0" fillId="2" borderId="0" xfId="0" applyFill="1"/>
    <xf numFmtId="0" fontId="0" fillId="0" borderId="0" xfId="0"/>
    <xf numFmtId="0" fontId="0" fillId="2" borderId="0" xfId="0" applyFill="1"/>
    <xf numFmtId="0" fontId="0" fillId="0" borderId="0" xfId="0"/>
    <xf numFmtId="1" fontId="0" fillId="0" borderId="0" xfId="0" applyNumberFormat="1"/>
    <xf numFmtId="0" fontId="0" fillId="0" borderId="0" xfId="0"/>
    <xf numFmtId="0" fontId="0" fillId="0" borderId="1" xfId="0" applyBorder="1"/>
    <xf numFmtId="0" fontId="0" fillId="0" borderId="0" xfId="0"/>
    <xf numFmtId="0" fontId="0" fillId="0" borderId="0" xfId="0"/>
    <xf numFmtId="0" fontId="0" fillId="0" borderId="15" xfId="0" applyBorder="1"/>
    <xf numFmtId="0" fontId="0" fillId="0" borderId="14" xfId="0" applyBorder="1"/>
    <xf numFmtId="0" fontId="0" fillId="0" borderId="16" xfId="0" applyBorder="1"/>
    <xf numFmtId="165" fontId="0" fillId="2" borderId="0" xfId="0" applyNumberFormat="1" applyFill="1"/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/>
    <xf numFmtId="1" fontId="0" fillId="2" borderId="0" xfId="0" applyNumberFormat="1" applyFill="1"/>
    <xf numFmtId="0" fontId="0" fillId="0" borderId="0" xfId="0" applyAlignment="1">
      <alignment wrapText="1"/>
    </xf>
    <xf numFmtId="0" fontId="0" fillId="0" borderId="14" xfId="0" applyFont="1" applyBorder="1"/>
    <xf numFmtId="2" fontId="0" fillId="0" borderId="14" xfId="0" applyNumberFormat="1" applyFont="1" applyBorder="1"/>
    <xf numFmtId="0" fontId="0" fillId="0" borderId="16" xfId="0" applyFont="1" applyBorder="1"/>
    <xf numFmtId="0" fontId="0" fillId="0" borderId="0" xfId="0" applyBorder="1"/>
    <xf numFmtId="0" fontId="0" fillId="2" borderId="0" xfId="0" applyFill="1" applyBorder="1"/>
    <xf numFmtId="1" fontId="0" fillId="2" borderId="0" xfId="0" applyNumberFormat="1" applyFill="1" applyBorder="1"/>
    <xf numFmtId="2" fontId="0" fillId="0" borderId="0" xfId="0" applyNumberFormat="1" applyBorder="1"/>
    <xf numFmtId="2" fontId="0" fillId="2" borderId="0" xfId="0" applyNumberFormat="1" applyFill="1" applyBorder="1"/>
    <xf numFmtId="0" fontId="0" fillId="0" borderId="0" xfId="0" applyFont="1" applyBorder="1"/>
    <xf numFmtId="1" fontId="0" fillId="2" borderId="0" xfId="0" applyNumberFormat="1" applyFont="1" applyFill="1" applyBorder="1"/>
    <xf numFmtId="2" fontId="0" fillId="0" borderId="0" xfId="0" applyNumberFormat="1" applyFont="1" applyBorder="1"/>
    <xf numFmtId="0" fontId="29" fillId="2" borderId="0" xfId="0" applyFont="1" applyFill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152">
    <cellStyle name="20% - Акцент1 2" xfId="2"/>
    <cellStyle name="20% - Акцент1 3" xfId="3"/>
    <cellStyle name="20% - Акцент2 2" xfId="4"/>
    <cellStyle name="20% - Акцент2 3" xfId="5"/>
    <cellStyle name="20% - Акцент3 2" xfId="6"/>
    <cellStyle name="20% - Акцент3 3" xfId="7"/>
    <cellStyle name="20% - Акцент4 2" xfId="8"/>
    <cellStyle name="20% - Акцент4 3" xfId="9"/>
    <cellStyle name="20% - Акцент5 2" xfId="10"/>
    <cellStyle name="20% - Акцент5 3" xfId="11"/>
    <cellStyle name="20% - Акцент6 2" xfId="12"/>
    <cellStyle name="20% - Акцент6 3" xfId="13"/>
    <cellStyle name="40% - Акцент1 2" xfId="14"/>
    <cellStyle name="40% - Акцент1 3" xfId="15"/>
    <cellStyle name="40% - Акцент2 2" xfId="16"/>
    <cellStyle name="40% - Акцент2 3" xfId="17"/>
    <cellStyle name="40% - Акцент3 2" xfId="18"/>
    <cellStyle name="40% - Акцент3 3" xfId="19"/>
    <cellStyle name="40% - Акцент4 2" xfId="20"/>
    <cellStyle name="40% - Акцент4 3" xfId="21"/>
    <cellStyle name="40% - Акцент5 2" xfId="22"/>
    <cellStyle name="40% - Акцент5 3" xfId="23"/>
    <cellStyle name="40% - Акцент6 2" xfId="24"/>
    <cellStyle name="40% - Акцент6 3" xfId="25"/>
    <cellStyle name="60% - Акцент1 2" xfId="26"/>
    <cellStyle name="60% - Акцент1 3" xfId="27"/>
    <cellStyle name="60% - Акцент2 2" xfId="28"/>
    <cellStyle name="60% - Акцент2 3" xfId="29"/>
    <cellStyle name="60% - Акцент3 2" xfId="30"/>
    <cellStyle name="60% - Акцент3 3" xfId="31"/>
    <cellStyle name="60% - Акцент4 2" xfId="32"/>
    <cellStyle name="60% - Акцент4 3" xfId="33"/>
    <cellStyle name="60% - Акцент5 2" xfId="34"/>
    <cellStyle name="60% - Акцент5 3" xfId="35"/>
    <cellStyle name="60% - Акцент6 2" xfId="36"/>
    <cellStyle name="60% - Акцент6 3" xfId="37"/>
    <cellStyle name="Акцент1 2" xfId="38"/>
    <cellStyle name="Акцент1 3" xfId="39"/>
    <cellStyle name="Акцент2 2" xfId="40"/>
    <cellStyle name="Акцент2 3" xfId="41"/>
    <cellStyle name="Акцент3 2" xfId="42"/>
    <cellStyle name="Акцент3 3" xfId="43"/>
    <cellStyle name="Акцент4 2" xfId="44"/>
    <cellStyle name="Акцент4 3" xfId="45"/>
    <cellStyle name="Акцент5 2" xfId="46"/>
    <cellStyle name="Акцент5 3" xfId="47"/>
    <cellStyle name="Акцент6 2" xfId="48"/>
    <cellStyle name="Акцент6 3" xfId="49"/>
    <cellStyle name="Ввод  2" xfId="50"/>
    <cellStyle name="Ввод  3" xfId="51"/>
    <cellStyle name="Вывод 2" xfId="52"/>
    <cellStyle name="Вывод 3" xfId="53"/>
    <cellStyle name="Вычисление 2" xfId="54"/>
    <cellStyle name="Вычисление 3" xfId="55"/>
    <cellStyle name="Заголовок 1 2" xfId="56"/>
    <cellStyle name="Заголовок 1 3" xfId="57"/>
    <cellStyle name="Заголовок 2 2" xfId="58"/>
    <cellStyle name="Заголовок 2 3" xfId="59"/>
    <cellStyle name="Заголовок 3 2" xfId="60"/>
    <cellStyle name="Заголовок 3 3" xfId="61"/>
    <cellStyle name="Заголовок 4 2" xfId="62"/>
    <cellStyle name="Заголовок 4 3" xfId="63"/>
    <cellStyle name="Итог 2" xfId="64"/>
    <cellStyle name="Итог 3" xfId="65"/>
    <cellStyle name="Контрольная ячейка 2" xfId="66"/>
    <cellStyle name="Контрольная ячейка 3" xfId="67"/>
    <cellStyle name="Название 2" xfId="68"/>
    <cellStyle name="Название 3" xfId="69"/>
    <cellStyle name="Нейтральный 2" xfId="70"/>
    <cellStyle name="Нейтральный 3" xfId="71"/>
    <cellStyle name="Обычный" xfId="0" builtinId="0"/>
    <cellStyle name="Обычный 10" xfId="72"/>
    <cellStyle name="Обычный 10 2" xfId="114"/>
    <cellStyle name="Обычный 11" xfId="73"/>
    <cellStyle name="Обычный 11 2" xfId="150"/>
    <cellStyle name="Обычный 11 3" xfId="115"/>
    <cellStyle name="Обычный 12" xfId="74"/>
    <cellStyle name="Обычный 12 2" xfId="75"/>
    <cellStyle name="Обычный 12 3" xfId="147"/>
    <cellStyle name="Обычный 12_Расчет Vуст. - бок. ствол" xfId="106"/>
    <cellStyle name="Обычный 13" xfId="105"/>
    <cellStyle name="Обычный 2" xfId="1"/>
    <cellStyle name="Обычный 2 2" xfId="76"/>
    <cellStyle name="Обычный 2 2 2" xfId="116"/>
    <cellStyle name="Обычный 2 2 3" xfId="117"/>
    <cellStyle name="Обычный 2 2 4" xfId="108"/>
    <cellStyle name="Обычный 2 3" xfId="77"/>
    <cellStyle name="Обычный 2 3 2" xfId="118"/>
    <cellStyle name="Обычный 2 3 2 2" xfId="119"/>
    <cellStyle name="Обычный 2 3 3" xfId="120"/>
    <cellStyle name="Обычный 2 3 4" xfId="121"/>
    <cellStyle name="Обычный 2 3 5" xfId="109"/>
    <cellStyle name="Обычный 2 4" xfId="78"/>
    <cellStyle name="Обычный 2 4 2" xfId="113"/>
    <cellStyle name="Обычный 2 5" xfId="79"/>
    <cellStyle name="Обычный 2 5 2" xfId="123"/>
    <cellStyle name="Обычный 2 5 3" xfId="122"/>
    <cellStyle name="Обычный 2 6" xfId="80"/>
    <cellStyle name="Обычный 2 6 2" xfId="125"/>
    <cellStyle name="Обычный 2 6 3" xfId="124"/>
    <cellStyle name="Обычный 2 7" xfId="126"/>
    <cellStyle name="Обычный 2 8" xfId="127"/>
    <cellStyle name="Обычный 2 9" xfId="107"/>
    <cellStyle name="Обычный 2_Лист2" xfId="81"/>
    <cellStyle name="Обычный 3" xfId="82"/>
    <cellStyle name="Обычный 3 2" xfId="128"/>
    <cellStyle name="Обычный 3 2 2" xfId="145"/>
    <cellStyle name="Обычный 3 2 3" xfId="149"/>
    <cellStyle name="Обычный 3 3" xfId="110"/>
    <cellStyle name="Обычный 3 4" xfId="129"/>
    <cellStyle name="Обычный 3 5" xfId="130"/>
    <cellStyle name="Обычный 3 5 2" xfId="131"/>
    <cellStyle name="Обычный 3 6" xfId="132"/>
    <cellStyle name="Обычный 3 7" xfId="133"/>
    <cellStyle name="Обычный 3 8" xfId="144"/>
    <cellStyle name="Обычный 3 9" xfId="151"/>
    <cellStyle name="Обычный 4" xfId="83"/>
    <cellStyle name="Обычный 4 10" xfId="148"/>
    <cellStyle name="Обычный 4 2" xfId="134"/>
    <cellStyle name="Обычный 4 3" xfId="135"/>
    <cellStyle name="Обычный 4 4" xfId="136"/>
    <cellStyle name="Обычный 4 5" xfId="137"/>
    <cellStyle name="Обычный 4 6" xfId="138"/>
    <cellStyle name="Обычный 4 7" xfId="139"/>
    <cellStyle name="Обычный 4 8" xfId="140"/>
    <cellStyle name="Обычный 4 9" xfId="141"/>
    <cellStyle name="Обычный 5" xfId="84"/>
    <cellStyle name="Обычный 5 2" xfId="112"/>
    <cellStyle name="Обычный 5 3" xfId="111"/>
    <cellStyle name="Обычный 6" xfId="85"/>
    <cellStyle name="Обычный 6 2" xfId="146"/>
    <cellStyle name="Обычный 7" xfId="86"/>
    <cellStyle name="Обычный 7 2" xfId="142"/>
    <cellStyle name="Обычный 8" xfId="87"/>
    <cellStyle name="Обычный 8 2" xfId="143"/>
    <cellStyle name="Обычный 9" xfId="88"/>
    <cellStyle name="Плохой 2" xfId="89"/>
    <cellStyle name="Плохой 3" xfId="90"/>
    <cellStyle name="Пояснение 2" xfId="91"/>
    <cellStyle name="Пояснение 3" xfId="92"/>
    <cellStyle name="Примечание 2" xfId="93"/>
    <cellStyle name="Примечание 3" xfId="94"/>
    <cellStyle name="Примечание 4" xfId="95"/>
    <cellStyle name="Связанная ячейка 2" xfId="96"/>
    <cellStyle name="Связанная ячейка 3" xfId="97"/>
    <cellStyle name="Стиль 1" xfId="98"/>
    <cellStyle name="Текст предупреждения 2" xfId="99"/>
    <cellStyle name="Текст предупреждения 3" xfId="100"/>
    <cellStyle name="Финансовый 2" xfId="101"/>
    <cellStyle name="Финансовый 2 2" xfId="102"/>
    <cellStyle name="Хороший 2" xfId="103"/>
    <cellStyle name="Хороший 3" xfId="10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'1ступень'!$C$3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'1ступень'!$C$4:$C$18</c:f>
              <c:numCache>
                <c:formatCode>General</c:formatCode>
                <c:ptCount val="15"/>
                <c:pt idx="0">
                  <c:v>11.6090909090909</c:v>
                </c:pt>
                <c:pt idx="1">
                  <c:v>11.6090909090909</c:v>
                </c:pt>
                <c:pt idx="2">
                  <c:v>11.7090909090909</c:v>
                </c:pt>
                <c:pt idx="3">
                  <c:v>12.2090909090909</c:v>
                </c:pt>
                <c:pt idx="4">
                  <c:v>13.609090909090899</c:v>
                </c:pt>
                <c:pt idx="5">
                  <c:v>15.909090909090899</c:v>
                </c:pt>
                <c:pt idx="6">
                  <c:v>17.517647058823499</c:v>
                </c:pt>
                <c:pt idx="7">
                  <c:v>18.817647058823599</c:v>
                </c:pt>
                <c:pt idx="8">
                  <c:v>20.151724137930998</c:v>
                </c:pt>
                <c:pt idx="9">
                  <c:v>20.951724137931002</c:v>
                </c:pt>
                <c:pt idx="10">
                  <c:v>22.051724137931</c:v>
                </c:pt>
                <c:pt idx="11">
                  <c:v>23.951724137930903</c:v>
                </c:pt>
                <c:pt idx="12">
                  <c:v>26.4517241379308</c:v>
                </c:pt>
                <c:pt idx="13">
                  <c:v>29.4517241379307</c:v>
                </c:pt>
                <c:pt idx="14">
                  <c:v>32.351724137930603</c:v>
                </c:pt>
              </c:numCache>
            </c:numRef>
          </c:xVal>
          <c:yVal>
            <c:numRef>
              <c:f>'1ступень'!$B$4:$B$18</c:f>
              <c:numCache>
                <c:formatCode>0</c:formatCode>
                <c:ptCount val="15"/>
                <c:pt idx="0" formatCode="General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'1ступень'!$N$3</c:f>
              <c:strCache>
                <c:ptCount val="1"/>
                <c:pt idx="0">
                  <c:v>30_формула</c:v>
                </c:pt>
              </c:strCache>
            </c:strRef>
          </c:tx>
          <c:xVal>
            <c:numRef>
              <c:f>'1ступень'!$N$4:$N$18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'1ступень'!$B$4:$B$18</c:f>
              <c:numCache>
                <c:formatCode>0</c:formatCode>
                <c:ptCount val="15"/>
                <c:pt idx="0" formatCode="General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702816"/>
        <c:axId val="588703208"/>
      </c:scatterChart>
      <c:valAx>
        <c:axId val="58870281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88703208"/>
        <c:crosses val="autoZero"/>
        <c:crossBetween val="midCat"/>
      </c:valAx>
      <c:valAx>
        <c:axId val="588703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87028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'1ступень'!$E$3</c:f>
              <c:strCache>
                <c:ptCount val="1"/>
                <c:pt idx="0">
                  <c:v>50</c:v>
                </c:pt>
              </c:strCache>
            </c:strRef>
          </c:tx>
          <c:xVal>
            <c:numRef>
              <c:f>'1ступень'!$E$4:$E$18</c:f>
              <c:numCache>
                <c:formatCode>General</c:formatCode>
                <c:ptCount val="15"/>
                <c:pt idx="0">
                  <c:v>19.781818181818199</c:v>
                </c:pt>
                <c:pt idx="1">
                  <c:v>19.781818181818199</c:v>
                </c:pt>
                <c:pt idx="2">
                  <c:v>19.781818181818199</c:v>
                </c:pt>
                <c:pt idx="3">
                  <c:v>19.781818181818199</c:v>
                </c:pt>
                <c:pt idx="4">
                  <c:v>22.681818181818102</c:v>
                </c:pt>
                <c:pt idx="5">
                  <c:v>24.4818181818179</c:v>
                </c:pt>
                <c:pt idx="6">
                  <c:v>26.881818181817799</c:v>
                </c:pt>
                <c:pt idx="7">
                  <c:v>29.281818181817698</c:v>
                </c:pt>
                <c:pt idx="8">
                  <c:v>32.181818181817604</c:v>
                </c:pt>
                <c:pt idx="9">
                  <c:v>32.477777777777298</c:v>
                </c:pt>
                <c:pt idx="10">
                  <c:v>32.877777777777297</c:v>
                </c:pt>
                <c:pt idx="11">
                  <c:v>33.777777777777203</c:v>
                </c:pt>
                <c:pt idx="12">
                  <c:v>35.077777777777101</c:v>
                </c:pt>
                <c:pt idx="13">
                  <c:v>36.477777777777099</c:v>
                </c:pt>
                <c:pt idx="14">
                  <c:v>40.077777777776902</c:v>
                </c:pt>
              </c:numCache>
            </c:numRef>
          </c:xVal>
          <c:yVal>
            <c:numRef>
              <c:f>'1ступень'!$B$4:$B$18</c:f>
              <c:numCache>
                <c:formatCode>0</c:formatCode>
                <c:ptCount val="15"/>
                <c:pt idx="0" formatCode="General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ser>
          <c:idx val="6"/>
          <c:order val="1"/>
          <c:tx>
            <c:strRef>
              <c:f>'1ступень'!$P$3</c:f>
              <c:strCache>
                <c:ptCount val="1"/>
                <c:pt idx="0">
                  <c:v>50_формула</c:v>
                </c:pt>
              </c:strCache>
            </c:strRef>
          </c:tx>
          <c:xVal>
            <c:numRef>
              <c:f>'1ступень'!$P$4:$P$18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'1ступень'!$B$4:$B$18</c:f>
              <c:numCache>
                <c:formatCode>0</c:formatCode>
                <c:ptCount val="15"/>
                <c:pt idx="0" formatCode="General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686536"/>
        <c:axId val="580687712"/>
      </c:scatterChart>
      <c:valAx>
        <c:axId val="58068653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80687712"/>
        <c:crosses val="autoZero"/>
        <c:crossBetween val="midCat"/>
      </c:valAx>
      <c:valAx>
        <c:axId val="580687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06865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'1ступень'!$D$3</c:f>
              <c:strCache>
                <c:ptCount val="1"/>
                <c:pt idx="0">
                  <c:v>40</c:v>
                </c:pt>
              </c:strCache>
            </c:strRef>
          </c:tx>
          <c:xVal>
            <c:numRef>
              <c:f>'1ступень'!$D$4:$D$18</c:f>
              <c:numCache>
                <c:formatCode>General</c:formatCode>
                <c:ptCount val="15"/>
                <c:pt idx="0">
                  <c:v>15.545454545454501</c:v>
                </c:pt>
                <c:pt idx="1">
                  <c:v>15.545454545454501</c:v>
                </c:pt>
                <c:pt idx="2">
                  <c:v>15.5454545454546</c:v>
                </c:pt>
                <c:pt idx="3">
                  <c:v>15.5454545454546</c:v>
                </c:pt>
                <c:pt idx="4">
                  <c:v>17.345454545454601</c:v>
                </c:pt>
                <c:pt idx="5">
                  <c:v>19.823529411764699</c:v>
                </c:pt>
                <c:pt idx="6">
                  <c:v>21.6235294117647</c:v>
                </c:pt>
                <c:pt idx="7">
                  <c:v>23.3235294117646</c:v>
                </c:pt>
                <c:pt idx="8">
                  <c:v>25.0235294117645</c:v>
                </c:pt>
                <c:pt idx="9">
                  <c:v>25.468965517240999</c:v>
                </c:pt>
                <c:pt idx="10">
                  <c:v>26.4689655172409</c:v>
                </c:pt>
                <c:pt idx="11">
                  <c:v>27.368965517240799</c:v>
                </c:pt>
                <c:pt idx="12">
                  <c:v>28.468965517240797</c:v>
                </c:pt>
                <c:pt idx="13">
                  <c:v>29.6689655172407</c:v>
                </c:pt>
                <c:pt idx="14">
                  <c:v>32.368965517240596</c:v>
                </c:pt>
              </c:numCache>
            </c:numRef>
          </c:xVal>
          <c:yVal>
            <c:numRef>
              <c:f>'1ступень'!$B$4:$B$18</c:f>
              <c:numCache>
                <c:formatCode>0</c:formatCode>
                <c:ptCount val="15"/>
                <c:pt idx="0" formatCode="General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'1ступень'!$O$3</c:f>
              <c:strCache>
                <c:ptCount val="1"/>
                <c:pt idx="0">
                  <c:v>40_формула</c:v>
                </c:pt>
              </c:strCache>
            </c:strRef>
          </c:tx>
          <c:xVal>
            <c:numRef>
              <c:f>'1ступень'!$O$4:$O$18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'1ступень'!$B$4:$B$18</c:f>
              <c:numCache>
                <c:formatCode>0</c:formatCode>
                <c:ptCount val="15"/>
                <c:pt idx="0" formatCode="General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688104"/>
        <c:axId val="580688496"/>
      </c:scatterChart>
      <c:valAx>
        <c:axId val="58068810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80688496"/>
        <c:crosses val="autoZero"/>
        <c:crossBetween val="midCat"/>
      </c:valAx>
      <c:valAx>
        <c:axId val="580688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06881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3"/>
          <c:order val="0"/>
          <c:tx>
            <c:strRef>
              <c:f>'1ступень'!$F$3</c:f>
              <c:strCache>
                <c:ptCount val="1"/>
                <c:pt idx="0">
                  <c:v>60</c:v>
                </c:pt>
              </c:strCache>
            </c:strRef>
          </c:tx>
          <c:xVal>
            <c:numRef>
              <c:f>'1ступень'!$F$4:$F$18</c:f>
              <c:numCache>
                <c:formatCode>General</c:formatCode>
                <c:ptCount val="15"/>
                <c:pt idx="0">
                  <c:v>29.435294117646901</c:v>
                </c:pt>
                <c:pt idx="1">
                  <c:v>29.435294117646901</c:v>
                </c:pt>
                <c:pt idx="2">
                  <c:v>29.435294117646901</c:v>
                </c:pt>
                <c:pt idx="3">
                  <c:v>29.435294117646901</c:v>
                </c:pt>
                <c:pt idx="4">
                  <c:v>29.435294117646901</c:v>
                </c:pt>
                <c:pt idx="5">
                  <c:v>29.435294117646901</c:v>
                </c:pt>
                <c:pt idx="6">
                  <c:v>31.835294117646804</c:v>
                </c:pt>
                <c:pt idx="7">
                  <c:v>35.935294117646599</c:v>
                </c:pt>
                <c:pt idx="8">
                  <c:v>38.533333333332898</c:v>
                </c:pt>
                <c:pt idx="9">
                  <c:v>39.633333333332899</c:v>
                </c:pt>
                <c:pt idx="10">
                  <c:v>40.433333333332797</c:v>
                </c:pt>
                <c:pt idx="11">
                  <c:v>41.1333333333327</c:v>
                </c:pt>
                <c:pt idx="12">
                  <c:v>41.733333333332695</c:v>
                </c:pt>
                <c:pt idx="13">
                  <c:v>42.733333333332595</c:v>
                </c:pt>
                <c:pt idx="14">
                  <c:v>43.733333333332496</c:v>
                </c:pt>
              </c:numCache>
            </c:numRef>
          </c:xVal>
          <c:yVal>
            <c:numRef>
              <c:f>'1ступень'!$B$4:$B$18</c:f>
              <c:numCache>
                <c:formatCode>0</c:formatCode>
                <c:ptCount val="15"/>
                <c:pt idx="0" formatCode="General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ser>
          <c:idx val="7"/>
          <c:order val="1"/>
          <c:tx>
            <c:strRef>
              <c:f>'1ступень'!$Q$3</c:f>
              <c:strCache>
                <c:ptCount val="1"/>
                <c:pt idx="0">
                  <c:v>60_формула</c:v>
                </c:pt>
              </c:strCache>
            </c:strRef>
          </c:tx>
          <c:xVal>
            <c:numRef>
              <c:f>'1ступень'!$Q$4:$Q$18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'1ступень'!$B$4:$B$18</c:f>
              <c:numCache>
                <c:formatCode>0</c:formatCode>
                <c:ptCount val="15"/>
                <c:pt idx="0" formatCode="General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684968"/>
        <c:axId val="580685360"/>
      </c:scatterChart>
      <c:valAx>
        <c:axId val="5806849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80685360"/>
        <c:crosses val="autoZero"/>
        <c:crossBetween val="midCat"/>
      </c:valAx>
      <c:valAx>
        <c:axId val="58068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06849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'1ступень'!$D$3</c:f>
              <c:strCache>
                <c:ptCount val="1"/>
                <c:pt idx="0">
                  <c:v>40</c:v>
                </c:pt>
              </c:strCache>
            </c:strRef>
          </c:tx>
          <c:spPr>
            <a:ln w="190500">
              <a:solidFill>
                <a:srgbClr val="C0504D">
                  <a:shade val="76000"/>
                  <a:shade val="95000"/>
                  <a:satMod val="105000"/>
                  <a:alpha val="45000"/>
                </a:srgbClr>
              </a:solidFill>
            </a:ln>
          </c:spPr>
          <c:marker>
            <c:symbol val="none"/>
          </c:marker>
          <c:xVal>
            <c:numRef>
              <c:f>'1ступень'!$I$61:$I$75</c:f>
              <c:numCache>
                <c:formatCode>General</c:formatCode>
                <c:ptCount val="15"/>
                <c:pt idx="0">
                  <c:v>15.545454545454501</c:v>
                </c:pt>
                <c:pt idx="1">
                  <c:v>15.545454545454501</c:v>
                </c:pt>
                <c:pt idx="2">
                  <c:v>15.5454545454546</c:v>
                </c:pt>
                <c:pt idx="3">
                  <c:v>15.5454545454546</c:v>
                </c:pt>
                <c:pt idx="4">
                  <c:v>17.345454545454601</c:v>
                </c:pt>
                <c:pt idx="5">
                  <c:v>19.823529411764699</c:v>
                </c:pt>
                <c:pt idx="6">
                  <c:v>21.6235294117647</c:v>
                </c:pt>
                <c:pt idx="7">
                  <c:v>23.3235294117646</c:v>
                </c:pt>
                <c:pt idx="8">
                  <c:v>25.0235294117645</c:v>
                </c:pt>
                <c:pt idx="9">
                  <c:v>25.468965517240999</c:v>
                </c:pt>
                <c:pt idx="10">
                  <c:v>26.4689655172409</c:v>
                </c:pt>
                <c:pt idx="11">
                  <c:v>27.368965517240799</c:v>
                </c:pt>
                <c:pt idx="12">
                  <c:v>28.468965517240797</c:v>
                </c:pt>
                <c:pt idx="13">
                  <c:v>29.6689655172407</c:v>
                </c:pt>
                <c:pt idx="14">
                  <c:v>32.368965517240596</c:v>
                </c:pt>
              </c:numCache>
            </c:numRef>
          </c:xVal>
          <c:yVal>
            <c:numRef>
              <c:f>'1ступень'!$H$61:$H$75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'1ступень'!$O$3</c:f>
              <c:strCache>
                <c:ptCount val="1"/>
                <c:pt idx="0">
                  <c:v>40_формула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'1ступень'!$O$4:$O$18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'1ступень'!$B$4:$B$18</c:f>
              <c:numCache>
                <c:formatCode>0</c:formatCode>
                <c:ptCount val="15"/>
                <c:pt idx="0" formatCode="General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'1ступень'!$J$59</c:f>
              <c:strCache>
                <c:ptCount val="1"/>
                <c:pt idx="0">
                  <c:v>ГПА16-56 1.44 X 4 </c:v>
                </c:pt>
              </c:strCache>
            </c:strRef>
          </c:tx>
          <c:marker>
            <c:symbol val="none"/>
          </c:marker>
          <c:xVal>
            <c:numRef>
              <c:f>'1ступень'!$J$61:$J$75</c:f>
              <c:numCache>
                <c:formatCode>General</c:formatCode>
                <c:ptCount val="15"/>
                <c:pt idx="0">
                  <c:v>26.200000000000003</c:v>
                </c:pt>
                <c:pt idx="1">
                  <c:v>25.9</c:v>
                </c:pt>
                <c:pt idx="2">
                  <c:v>26.200000000000003</c:v>
                </c:pt>
                <c:pt idx="3">
                  <c:v>26</c:v>
                </c:pt>
                <c:pt idx="4">
                  <c:v>25.9</c:v>
                </c:pt>
                <c:pt idx="5">
                  <c:v>26</c:v>
                </c:pt>
                <c:pt idx="6">
                  <c:v>26.200000000000003</c:v>
                </c:pt>
                <c:pt idx="7">
                  <c:v>26.5</c:v>
                </c:pt>
                <c:pt idx="8">
                  <c:v>27.1</c:v>
                </c:pt>
                <c:pt idx="9">
                  <c:v>28</c:v>
                </c:pt>
                <c:pt idx="10">
                  <c:v>30.099999999999998</c:v>
                </c:pt>
                <c:pt idx="11">
                  <c:v>32.9</c:v>
                </c:pt>
                <c:pt idx="12">
                  <c:v>36.6</c:v>
                </c:pt>
                <c:pt idx="13">
                  <c:v>40.199999999999996</c:v>
                </c:pt>
              </c:numCache>
            </c:numRef>
          </c:xVal>
          <c:yVal>
            <c:numRef>
              <c:f>'1ступень'!$H$61:$H$75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ser>
          <c:idx val="2"/>
          <c:order val="3"/>
          <c:tx>
            <c:strRef>
              <c:f>'1ступень'!$K$59</c:f>
              <c:strCache>
                <c:ptCount val="1"/>
                <c:pt idx="0">
                  <c:v>НЦ 16-41 1.45 X 4 </c:v>
                </c:pt>
              </c:strCache>
            </c:strRef>
          </c:tx>
          <c:marker>
            <c:symbol val="none"/>
          </c:marker>
          <c:xVal>
            <c:numRef>
              <c:f>'1ступень'!$K$61:$K$75</c:f>
              <c:numCache>
                <c:formatCode>General</c:formatCode>
                <c:ptCount val="15"/>
                <c:pt idx="1">
                  <c:v>24.6</c:v>
                </c:pt>
                <c:pt idx="2">
                  <c:v>24</c:v>
                </c:pt>
                <c:pt idx="3">
                  <c:v>24.6</c:v>
                </c:pt>
                <c:pt idx="4">
                  <c:v>24.2</c:v>
                </c:pt>
                <c:pt idx="5">
                  <c:v>24</c:v>
                </c:pt>
                <c:pt idx="6">
                  <c:v>24.3</c:v>
                </c:pt>
                <c:pt idx="7">
                  <c:v>24.6</c:v>
                </c:pt>
                <c:pt idx="8">
                  <c:v>25.099999999999998</c:v>
                </c:pt>
                <c:pt idx="9">
                  <c:v>25.5</c:v>
                </c:pt>
                <c:pt idx="10">
                  <c:v>26.5</c:v>
                </c:pt>
                <c:pt idx="11">
                  <c:v>27.400000000000002</c:v>
                </c:pt>
                <c:pt idx="12">
                  <c:v>28.5</c:v>
                </c:pt>
                <c:pt idx="13">
                  <c:v>29.700000000000003</c:v>
                </c:pt>
                <c:pt idx="14">
                  <c:v>32.400000000000006</c:v>
                </c:pt>
              </c:numCache>
            </c:numRef>
          </c:xVal>
          <c:yVal>
            <c:numRef>
              <c:f>'1ступень'!$H$61:$H$75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'1ступень'!$L$59</c:f>
              <c:strCache>
                <c:ptCount val="1"/>
                <c:pt idx="0">
                  <c:v>НЦ 16-45 1.7 X 4 </c:v>
                </c:pt>
              </c:strCache>
            </c:strRef>
          </c:tx>
          <c:marker>
            <c:symbol val="none"/>
          </c:marker>
          <c:xVal>
            <c:numRef>
              <c:f>'1ступень'!$L$61:$L$75</c:f>
              <c:numCache>
                <c:formatCode>General</c:formatCode>
                <c:ptCount val="15"/>
                <c:pt idx="0">
                  <c:v>18.899999999999999</c:v>
                </c:pt>
                <c:pt idx="1">
                  <c:v>18.899999999999999</c:v>
                </c:pt>
                <c:pt idx="2">
                  <c:v>18.899999999999999</c:v>
                </c:pt>
                <c:pt idx="3">
                  <c:v>18.899999999999999</c:v>
                </c:pt>
                <c:pt idx="4">
                  <c:v>19.099999999999998</c:v>
                </c:pt>
                <c:pt idx="5">
                  <c:v>19.8</c:v>
                </c:pt>
                <c:pt idx="6">
                  <c:v>21.6</c:v>
                </c:pt>
                <c:pt idx="7">
                  <c:v>23.3</c:v>
                </c:pt>
                <c:pt idx="8">
                  <c:v>25</c:v>
                </c:pt>
                <c:pt idx="9">
                  <c:v>26.400000000000002</c:v>
                </c:pt>
                <c:pt idx="10">
                  <c:v>29.2</c:v>
                </c:pt>
                <c:pt idx="11">
                  <c:v>33.1</c:v>
                </c:pt>
              </c:numCache>
            </c:numRef>
          </c:xVal>
          <c:yVal>
            <c:numRef>
              <c:f>'1ступень'!$H$61:$H$75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ser>
          <c:idx val="4"/>
          <c:order val="5"/>
          <c:tx>
            <c:strRef>
              <c:f>'1ступень'!$M$59</c:f>
              <c:strCache>
                <c:ptCount val="1"/>
                <c:pt idx="0">
                  <c:v>НЦ 16-41 2.2 X 4 </c:v>
                </c:pt>
              </c:strCache>
            </c:strRef>
          </c:tx>
          <c:marker>
            <c:symbol val="none"/>
          </c:marker>
          <c:xVal>
            <c:numRef>
              <c:f>'1ступень'!$M$61:$M$75</c:f>
              <c:numCache>
                <c:formatCode>General</c:formatCode>
                <c:ptCount val="15"/>
                <c:pt idx="0">
                  <c:v>15.5</c:v>
                </c:pt>
                <c:pt idx="1">
                  <c:v>15.5</c:v>
                </c:pt>
                <c:pt idx="2">
                  <c:v>15.5</c:v>
                </c:pt>
                <c:pt idx="3">
                  <c:v>15.5</c:v>
                </c:pt>
                <c:pt idx="4">
                  <c:v>17.3</c:v>
                </c:pt>
                <c:pt idx="5">
                  <c:v>20</c:v>
                </c:pt>
                <c:pt idx="6">
                  <c:v>22.200000000000003</c:v>
                </c:pt>
                <c:pt idx="7">
                  <c:v>24.4</c:v>
                </c:pt>
                <c:pt idx="8">
                  <c:v>28.5</c:v>
                </c:pt>
              </c:numCache>
            </c:numRef>
          </c:xVal>
          <c:yVal>
            <c:numRef>
              <c:f>'1ступень'!$H$61:$H$75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'1ступень'!$N$59</c:f>
              <c:strCache>
                <c:ptCount val="1"/>
                <c:pt idx="0">
                  <c:v>ГПА16-56 2.2 X 4 </c:v>
                </c:pt>
              </c:strCache>
            </c:strRef>
          </c:tx>
          <c:marker>
            <c:symbol val="none"/>
          </c:marker>
          <c:xVal>
            <c:numRef>
              <c:f>'1ступень'!$N$61:$N$75</c:f>
              <c:numCache>
                <c:formatCode>General</c:formatCode>
                <c:ptCount val="15"/>
                <c:pt idx="0">
                  <c:v>16.899999999999999</c:v>
                </c:pt>
                <c:pt idx="1">
                  <c:v>16.899999999999999</c:v>
                </c:pt>
                <c:pt idx="2">
                  <c:v>15.700000000000001</c:v>
                </c:pt>
                <c:pt idx="3">
                  <c:v>16.899999999999999</c:v>
                </c:pt>
                <c:pt idx="4">
                  <c:v>19.3</c:v>
                </c:pt>
                <c:pt idx="5">
                  <c:v>23.3</c:v>
                </c:pt>
                <c:pt idx="6">
                  <c:v>29</c:v>
                </c:pt>
              </c:numCache>
            </c:numRef>
          </c:xVal>
          <c:yVal>
            <c:numRef>
              <c:f>'1ступень'!$H$61:$H$75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'1ступень'!$O$59</c:f>
              <c:strCache>
                <c:ptCount val="1"/>
                <c:pt idx="0">
                  <c:v>ГПА16-56 1.7 X 4 </c:v>
                </c:pt>
              </c:strCache>
            </c:strRef>
          </c:tx>
          <c:marker>
            <c:symbol val="none"/>
          </c:marker>
          <c:xVal>
            <c:numRef>
              <c:f>'1ступень'!$O$61:$O$75</c:f>
              <c:numCache>
                <c:formatCode>General</c:formatCode>
                <c:ptCount val="15"/>
                <c:pt idx="0">
                  <c:v>19.899999999999999</c:v>
                </c:pt>
                <c:pt idx="1">
                  <c:v>19.899999999999999</c:v>
                </c:pt>
                <c:pt idx="2">
                  <c:v>19</c:v>
                </c:pt>
                <c:pt idx="3">
                  <c:v>19.899999999999999</c:v>
                </c:pt>
                <c:pt idx="4">
                  <c:v>21.5</c:v>
                </c:pt>
                <c:pt idx="5">
                  <c:v>23.5</c:v>
                </c:pt>
                <c:pt idx="6">
                  <c:v>25.7</c:v>
                </c:pt>
                <c:pt idx="7">
                  <c:v>30.4</c:v>
                </c:pt>
                <c:pt idx="8">
                  <c:v>35.9</c:v>
                </c:pt>
              </c:numCache>
            </c:numRef>
          </c:xVal>
          <c:yVal>
            <c:numRef>
              <c:f>'1ступень'!$H$61:$H$75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'1ступень'!$P$59</c:f>
              <c:strCache>
                <c:ptCount val="1"/>
                <c:pt idx="0">
                  <c:v>НЦ 16-56 1.7 X 4 </c:v>
                </c:pt>
              </c:strCache>
            </c:strRef>
          </c:tx>
          <c:marker>
            <c:symbol val="none"/>
          </c:marker>
          <c:xVal>
            <c:numRef>
              <c:f>'1ступень'!$P$61:$P$75</c:f>
              <c:numCache>
                <c:formatCode>General</c:formatCode>
                <c:ptCount val="15"/>
                <c:pt idx="0">
                  <c:v>19.600000000000001</c:v>
                </c:pt>
                <c:pt idx="1">
                  <c:v>18.3</c:v>
                </c:pt>
                <c:pt idx="2">
                  <c:v>18.700000000000003</c:v>
                </c:pt>
                <c:pt idx="3">
                  <c:v>19.600000000000001</c:v>
                </c:pt>
                <c:pt idx="4">
                  <c:v>21.200000000000003</c:v>
                </c:pt>
                <c:pt idx="5">
                  <c:v>23.2</c:v>
                </c:pt>
                <c:pt idx="6">
                  <c:v>26.200000000000003</c:v>
                </c:pt>
                <c:pt idx="7">
                  <c:v>31.6</c:v>
                </c:pt>
                <c:pt idx="8">
                  <c:v>37.299999999999997</c:v>
                </c:pt>
              </c:numCache>
            </c:numRef>
          </c:xVal>
          <c:yVal>
            <c:numRef>
              <c:f>'1ступень'!$H$61:$H$75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657168"/>
        <c:axId val="586885224"/>
      </c:scatterChart>
      <c:valAx>
        <c:axId val="5826571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86885224"/>
        <c:crosses val="autoZero"/>
        <c:crossBetween val="midCat"/>
      </c:valAx>
      <c:valAx>
        <c:axId val="586885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26571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'1ступень'!$D$2</c:f>
              <c:strCache>
                <c:ptCount val="1"/>
                <c:pt idx="0">
                  <c:v>Огибающая</c:v>
                </c:pt>
              </c:strCache>
            </c:strRef>
          </c:tx>
          <c:spPr>
            <a:ln w="190500">
              <a:solidFill>
                <a:srgbClr val="C0504D">
                  <a:shade val="76000"/>
                  <a:shade val="95000"/>
                  <a:satMod val="105000"/>
                  <a:alpha val="45000"/>
                </a:srgbClr>
              </a:solidFill>
            </a:ln>
          </c:spPr>
          <c:marker>
            <c:symbol val="none"/>
          </c:marker>
          <c:xVal>
            <c:numRef>
              <c:f>'1ступень'!$I$61:$I$75</c:f>
              <c:numCache>
                <c:formatCode>General</c:formatCode>
                <c:ptCount val="15"/>
                <c:pt idx="0">
                  <c:v>15.545454545454501</c:v>
                </c:pt>
                <c:pt idx="1">
                  <c:v>15.545454545454501</c:v>
                </c:pt>
                <c:pt idx="2">
                  <c:v>15.5454545454546</c:v>
                </c:pt>
                <c:pt idx="3">
                  <c:v>15.5454545454546</c:v>
                </c:pt>
                <c:pt idx="4">
                  <c:v>17.345454545454601</c:v>
                </c:pt>
                <c:pt idx="5">
                  <c:v>19.823529411764699</c:v>
                </c:pt>
                <c:pt idx="6">
                  <c:v>21.6235294117647</c:v>
                </c:pt>
                <c:pt idx="7">
                  <c:v>23.3235294117646</c:v>
                </c:pt>
                <c:pt idx="8">
                  <c:v>25.0235294117645</c:v>
                </c:pt>
                <c:pt idx="9">
                  <c:v>25.468965517240999</c:v>
                </c:pt>
                <c:pt idx="10">
                  <c:v>26.4689655172409</c:v>
                </c:pt>
                <c:pt idx="11">
                  <c:v>27.368965517240799</c:v>
                </c:pt>
                <c:pt idx="12">
                  <c:v>28.468965517240797</c:v>
                </c:pt>
                <c:pt idx="13">
                  <c:v>29.6689655172407</c:v>
                </c:pt>
                <c:pt idx="14">
                  <c:v>32.368965517240596</c:v>
                </c:pt>
              </c:numCache>
            </c:numRef>
          </c:xVal>
          <c:yVal>
            <c:numRef>
              <c:f>'1ступень'!$H$61:$H$75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'1ступень'!$K$59</c:f>
              <c:strCache>
                <c:ptCount val="1"/>
                <c:pt idx="0">
                  <c:v>НЦ 16-41 1.45 X 4 </c:v>
                </c:pt>
              </c:strCache>
            </c:strRef>
          </c:tx>
          <c:marker>
            <c:symbol val="none"/>
          </c:marker>
          <c:xVal>
            <c:numRef>
              <c:f>'1ступень'!$K$61:$K$75</c:f>
              <c:numCache>
                <c:formatCode>General</c:formatCode>
                <c:ptCount val="15"/>
                <c:pt idx="1">
                  <c:v>24.6</c:v>
                </c:pt>
                <c:pt idx="2">
                  <c:v>24</c:v>
                </c:pt>
                <c:pt idx="3">
                  <c:v>24.6</c:v>
                </c:pt>
                <c:pt idx="4">
                  <c:v>24.2</c:v>
                </c:pt>
                <c:pt idx="5">
                  <c:v>24</c:v>
                </c:pt>
                <c:pt idx="6">
                  <c:v>24.3</c:v>
                </c:pt>
                <c:pt idx="7">
                  <c:v>24.6</c:v>
                </c:pt>
                <c:pt idx="8">
                  <c:v>25.099999999999998</c:v>
                </c:pt>
                <c:pt idx="9">
                  <c:v>25.5</c:v>
                </c:pt>
                <c:pt idx="10">
                  <c:v>26.5</c:v>
                </c:pt>
                <c:pt idx="11">
                  <c:v>27.400000000000002</c:v>
                </c:pt>
                <c:pt idx="12">
                  <c:v>28.5</c:v>
                </c:pt>
                <c:pt idx="13">
                  <c:v>29.700000000000003</c:v>
                </c:pt>
                <c:pt idx="14">
                  <c:v>32.400000000000006</c:v>
                </c:pt>
              </c:numCache>
            </c:numRef>
          </c:xVal>
          <c:yVal>
            <c:numRef>
              <c:f>'1ступень'!$H$61:$H$75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'1ступень'!$L$59</c:f>
              <c:strCache>
                <c:ptCount val="1"/>
                <c:pt idx="0">
                  <c:v>НЦ 16-45 1.7 X 4 </c:v>
                </c:pt>
              </c:strCache>
            </c:strRef>
          </c:tx>
          <c:marker>
            <c:symbol val="none"/>
          </c:marker>
          <c:xVal>
            <c:numRef>
              <c:f>'1ступень'!$L$61:$L$75</c:f>
              <c:numCache>
                <c:formatCode>General</c:formatCode>
                <c:ptCount val="15"/>
                <c:pt idx="0">
                  <c:v>18.899999999999999</c:v>
                </c:pt>
                <c:pt idx="1">
                  <c:v>18.899999999999999</c:v>
                </c:pt>
                <c:pt idx="2">
                  <c:v>18.899999999999999</c:v>
                </c:pt>
                <c:pt idx="3">
                  <c:v>18.899999999999999</c:v>
                </c:pt>
                <c:pt idx="4">
                  <c:v>19.099999999999998</c:v>
                </c:pt>
                <c:pt idx="5">
                  <c:v>19.8</c:v>
                </c:pt>
                <c:pt idx="6">
                  <c:v>21.6</c:v>
                </c:pt>
                <c:pt idx="7">
                  <c:v>23.3</c:v>
                </c:pt>
                <c:pt idx="8">
                  <c:v>25</c:v>
                </c:pt>
                <c:pt idx="9">
                  <c:v>26.400000000000002</c:v>
                </c:pt>
                <c:pt idx="10">
                  <c:v>29.2</c:v>
                </c:pt>
                <c:pt idx="11">
                  <c:v>33.1</c:v>
                </c:pt>
              </c:numCache>
            </c:numRef>
          </c:xVal>
          <c:yVal>
            <c:numRef>
              <c:f>'1ступень'!$H$61:$H$75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'1ступень'!$M$59</c:f>
              <c:strCache>
                <c:ptCount val="1"/>
                <c:pt idx="0">
                  <c:v>НЦ 16-41 2.2 X 4 </c:v>
                </c:pt>
              </c:strCache>
            </c:strRef>
          </c:tx>
          <c:marker>
            <c:symbol val="none"/>
          </c:marker>
          <c:xVal>
            <c:numRef>
              <c:f>'1ступень'!$M$61:$M$75</c:f>
              <c:numCache>
                <c:formatCode>General</c:formatCode>
                <c:ptCount val="15"/>
                <c:pt idx="0">
                  <c:v>15.5</c:v>
                </c:pt>
                <c:pt idx="1">
                  <c:v>15.5</c:v>
                </c:pt>
                <c:pt idx="2">
                  <c:v>15.5</c:v>
                </c:pt>
                <c:pt idx="3">
                  <c:v>15.5</c:v>
                </c:pt>
                <c:pt idx="4">
                  <c:v>17.3</c:v>
                </c:pt>
                <c:pt idx="5">
                  <c:v>20</c:v>
                </c:pt>
                <c:pt idx="6">
                  <c:v>22.200000000000003</c:v>
                </c:pt>
                <c:pt idx="7">
                  <c:v>24.4</c:v>
                </c:pt>
                <c:pt idx="8">
                  <c:v>28.5</c:v>
                </c:pt>
              </c:numCache>
            </c:numRef>
          </c:xVal>
          <c:yVal>
            <c:numRef>
              <c:f>'1ступень'!$H$61:$H$75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887968"/>
        <c:axId val="586886400"/>
      </c:scatterChart>
      <c:valAx>
        <c:axId val="586887968"/>
        <c:scaling>
          <c:orientation val="minMax"/>
          <c:min val="1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 входа, МПа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86886400"/>
        <c:crosses val="autoZero"/>
        <c:crossBetween val="midCat"/>
        <c:dispUnits>
          <c:custUnit val="10"/>
        </c:dispUnits>
      </c:valAx>
      <c:valAx>
        <c:axId val="586886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Расход газа, млн. м³/сут</a:t>
                </a:r>
              </a:p>
            </c:rich>
          </c:tx>
          <c:layout>
            <c:manualLayout>
              <c:xMode val="edge"/>
              <c:yMode val="edge"/>
              <c:x val="2.8266077469690346E-2"/>
              <c:y val="0.1765932608939346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8688796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ru-RU"/>
    </a:p>
  </c:tx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0"/>
          <c:tx>
            <c:strRef>
              <c:f>'1ступень'!$L$59</c:f>
              <c:strCache>
                <c:ptCount val="1"/>
                <c:pt idx="0">
                  <c:v>НЦ 16-45 1.7 X 4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'1ступень'!$L$61:$L$75</c:f>
              <c:numCache>
                <c:formatCode>General</c:formatCode>
                <c:ptCount val="15"/>
                <c:pt idx="0">
                  <c:v>18.899999999999999</c:v>
                </c:pt>
                <c:pt idx="1">
                  <c:v>18.899999999999999</c:v>
                </c:pt>
                <c:pt idx="2">
                  <c:v>18.899999999999999</c:v>
                </c:pt>
                <c:pt idx="3">
                  <c:v>18.899999999999999</c:v>
                </c:pt>
                <c:pt idx="4">
                  <c:v>19.099999999999998</c:v>
                </c:pt>
                <c:pt idx="5">
                  <c:v>19.8</c:v>
                </c:pt>
                <c:pt idx="6">
                  <c:v>21.6</c:v>
                </c:pt>
                <c:pt idx="7">
                  <c:v>23.3</c:v>
                </c:pt>
                <c:pt idx="8">
                  <c:v>25</c:v>
                </c:pt>
                <c:pt idx="9">
                  <c:v>26.400000000000002</c:v>
                </c:pt>
                <c:pt idx="10">
                  <c:v>29.2</c:v>
                </c:pt>
                <c:pt idx="11">
                  <c:v>33.1</c:v>
                </c:pt>
              </c:numCache>
            </c:numRef>
          </c:xVal>
          <c:yVal>
            <c:numRef>
              <c:f>'1ступень'!$H$61:$H$75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886008"/>
        <c:axId val="586888752"/>
      </c:scatterChart>
      <c:valAx>
        <c:axId val="586886008"/>
        <c:scaling>
          <c:orientation val="minMax"/>
          <c:min val="1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 входа, МПа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86888752"/>
        <c:crosses val="autoZero"/>
        <c:crossBetween val="midCat"/>
        <c:dispUnits>
          <c:custUnit val="10"/>
        </c:dispUnits>
      </c:valAx>
      <c:valAx>
        <c:axId val="5868887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Расход газа, млн. м³/сут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688600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ru-RU"/>
    </a:p>
  </c:tx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'2ступени'!$C$3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'2ступени'!$C$4:$C$18</c:f>
              <c:numCache>
                <c:formatCode>General</c:formatCode>
                <c:ptCount val="15"/>
                <c:pt idx="0">
                  <c:v>8.533689839572201</c:v>
                </c:pt>
                <c:pt idx="1">
                  <c:v>8.533689839572201</c:v>
                </c:pt>
                <c:pt idx="2">
                  <c:v>8.533689839572201</c:v>
                </c:pt>
                <c:pt idx="3">
                  <c:v>10.7336898395722</c:v>
                </c:pt>
                <c:pt idx="4">
                  <c:v>12.443137254901998</c:v>
                </c:pt>
                <c:pt idx="5">
                  <c:v>14.343137254902</c:v>
                </c:pt>
                <c:pt idx="6">
                  <c:v>16.095402298850601</c:v>
                </c:pt>
                <c:pt idx="7">
                  <c:v>18.2954022988506</c:v>
                </c:pt>
                <c:pt idx="8">
                  <c:v>20.395402298850598</c:v>
                </c:pt>
                <c:pt idx="9">
                  <c:v>22.395402298850499</c:v>
                </c:pt>
                <c:pt idx="10">
                  <c:v>25.295402298850398</c:v>
                </c:pt>
                <c:pt idx="11">
                  <c:v>29.3954022988503</c:v>
                </c:pt>
                <c:pt idx="12">
                  <c:v>33.359259259258799</c:v>
                </c:pt>
                <c:pt idx="13">
                  <c:v>37.559259259258702</c:v>
                </c:pt>
              </c:numCache>
            </c:numRef>
          </c:xVal>
          <c:yVal>
            <c:numRef>
              <c:f>'2ступени'!$B$4:$B$18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'2ступени'!$N$3</c:f>
              <c:strCache>
                <c:ptCount val="1"/>
                <c:pt idx="0">
                  <c:v>30_формула</c:v>
                </c:pt>
              </c:strCache>
            </c:strRef>
          </c:tx>
          <c:xVal>
            <c:numRef>
              <c:f>'2ступени'!$N$4:$N$18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'2ступени'!$B$4:$B$18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887184"/>
        <c:axId val="586886792"/>
      </c:scatterChart>
      <c:valAx>
        <c:axId val="58688718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86886792"/>
        <c:crosses val="autoZero"/>
        <c:crossBetween val="midCat"/>
      </c:valAx>
      <c:valAx>
        <c:axId val="586886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68871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'2ступени'!$E$3</c:f>
              <c:strCache>
                <c:ptCount val="1"/>
                <c:pt idx="0">
                  <c:v>50</c:v>
                </c:pt>
              </c:strCache>
            </c:strRef>
          </c:tx>
          <c:xVal>
            <c:numRef>
              <c:f>'2ступени'!$E$4:$E$18</c:f>
              <c:numCache>
                <c:formatCode>General</c:formatCode>
                <c:ptCount val="15"/>
                <c:pt idx="0">
                  <c:v>10.6561497326203</c:v>
                </c:pt>
                <c:pt idx="1">
                  <c:v>10.6561497326203</c:v>
                </c:pt>
                <c:pt idx="2">
                  <c:v>10.556149732620298</c:v>
                </c:pt>
                <c:pt idx="3">
                  <c:v>13.056149732620298</c:v>
                </c:pt>
                <c:pt idx="4">
                  <c:v>14.9561497326203</c:v>
                </c:pt>
                <c:pt idx="5">
                  <c:v>17.056149732620302</c:v>
                </c:pt>
                <c:pt idx="6">
                  <c:v>18.4718954248366</c:v>
                </c:pt>
                <c:pt idx="7">
                  <c:v>20.471895424836603</c:v>
                </c:pt>
                <c:pt idx="8">
                  <c:v>22.525670498084096</c:v>
                </c:pt>
                <c:pt idx="9">
                  <c:v>23.625670498083998</c:v>
                </c:pt>
                <c:pt idx="10">
                  <c:v>25.025670498084001</c:v>
                </c:pt>
                <c:pt idx="11">
                  <c:v>29.125670498083803</c:v>
                </c:pt>
                <c:pt idx="12">
                  <c:v>33.332098765431304</c:v>
                </c:pt>
                <c:pt idx="13">
                  <c:v>37.532098765431201</c:v>
                </c:pt>
              </c:numCache>
            </c:numRef>
          </c:xVal>
          <c:yVal>
            <c:numRef>
              <c:f>'2ступени'!$B$4:$B$18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</c:numCache>
            </c:numRef>
          </c:yVal>
          <c:smooth val="0"/>
        </c:ser>
        <c:ser>
          <c:idx val="6"/>
          <c:order val="1"/>
          <c:tx>
            <c:strRef>
              <c:f>'2ступени'!$P$3</c:f>
              <c:strCache>
                <c:ptCount val="1"/>
                <c:pt idx="0">
                  <c:v>50_формула</c:v>
                </c:pt>
              </c:strCache>
            </c:strRef>
          </c:tx>
          <c:xVal>
            <c:numRef>
              <c:f>'2ступени'!$P$4:$P$18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'2ступени'!$B$4:$B$18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969152"/>
        <c:axId val="586967192"/>
      </c:scatterChart>
      <c:valAx>
        <c:axId val="58696915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86967192"/>
        <c:crosses val="autoZero"/>
        <c:crossBetween val="midCat"/>
      </c:valAx>
      <c:valAx>
        <c:axId val="586967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69691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'2ступени'!$D$3</c:f>
              <c:strCache>
                <c:ptCount val="1"/>
                <c:pt idx="0">
                  <c:v>40</c:v>
                </c:pt>
              </c:strCache>
            </c:strRef>
          </c:tx>
          <c:xVal>
            <c:numRef>
              <c:f>'2ступени'!$D$4:$D$18</c:f>
              <c:numCache>
                <c:formatCode>General</c:formatCode>
                <c:ptCount val="15"/>
                <c:pt idx="0">
                  <c:v>9.1449197860962599</c:v>
                </c:pt>
                <c:pt idx="1">
                  <c:v>9.1449197860962599</c:v>
                </c:pt>
                <c:pt idx="2">
                  <c:v>9.4449197860962606</c:v>
                </c:pt>
                <c:pt idx="3">
                  <c:v>11.344919786096298</c:v>
                </c:pt>
                <c:pt idx="4">
                  <c:v>13.644919786096299</c:v>
                </c:pt>
                <c:pt idx="5">
                  <c:v>15.457516339869299</c:v>
                </c:pt>
                <c:pt idx="6">
                  <c:v>17.057516339869302</c:v>
                </c:pt>
                <c:pt idx="7">
                  <c:v>18.957516339869301</c:v>
                </c:pt>
                <c:pt idx="8">
                  <c:v>20.360536398467399</c:v>
                </c:pt>
                <c:pt idx="9">
                  <c:v>22.460536398467397</c:v>
                </c:pt>
                <c:pt idx="10">
                  <c:v>25.260536398467298</c:v>
                </c:pt>
                <c:pt idx="11">
                  <c:v>29.160536398467197</c:v>
                </c:pt>
                <c:pt idx="12">
                  <c:v>33.045679012345197</c:v>
                </c:pt>
                <c:pt idx="13">
                  <c:v>37.545679012345097</c:v>
                </c:pt>
              </c:numCache>
            </c:numRef>
          </c:xVal>
          <c:yVal>
            <c:numRef>
              <c:f>'2ступени'!$B$4:$B$18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'2ступени'!$O$3</c:f>
              <c:strCache>
                <c:ptCount val="1"/>
                <c:pt idx="0">
                  <c:v>40_формула</c:v>
                </c:pt>
              </c:strCache>
            </c:strRef>
          </c:tx>
          <c:xVal>
            <c:numRef>
              <c:f>'2ступени'!$O$4:$O$18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'2ступени'!$B$4:$B$18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969936"/>
        <c:axId val="586970328"/>
      </c:scatterChart>
      <c:valAx>
        <c:axId val="58696993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86970328"/>
        <c:crosses val="autoZero"/>
        <c:crossBetween val="midCat"/>
      </c:valAx>
      <c:valAx>
        <c:axId val="586970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69699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3"/>
          <c:order val="0"/>
          <c:tx>
            <c:strRef>
              <c:f>'2ступени'!$F$3</c:f>
              <c:strCache>
                <c:ptCount val="1"/>
                <c:pt idx="0">
                  <c:v>60</c:v>
                </c:pt>
              </c:strCache>
            </c:strRef>
          </c:tx>
          <c:xVal>
            <c:numRef>
              <c:f>'2ступени'!$F$4:$F$18</c:f>
              <c:numCache>
                <c:formatCode>General</c:formatCode>
                <c:ptCount val="15"/>
                <c:pt idx="0">
                  <c:v>14.8871972318339</c:v>
                </c:pt>
                <c:pt idx="1">
                  <c:v>14.8871972318339</c:v>
                </c:pt>
                <c:pt idx="2">
                  <c:v>14.8871972318339</c:v>
                </c:pt>
                <c:pt idx="3">
                  <c:v>14.8871972318339</c:v>
                </c:pt>
                <c:pt idx="4">
                  <c:v>16.7871972318339</c:v>
                </c:pt>
                <c:pt idx="5">
                  <c:v>18.7871972318339</c:v>
                </c:pt>
                <c:pt idx="6">
                  <c:v>21.586274509803797</c:v>
                </c:pt>
                <c:pt idx="7">
                  <c:v>24.086274509803701</c:v>
                </c:pt>
                <c:pt idx="8">
                  <c:v>26.286274509803601</c:v>
                </c:pt>
                <c:pt idx="9">
                  <c:v>28.090804597700696</c:v>
                </c:pt>
                <c:pt idx="10">
                  <c:v>29.5908045977006</c:v>
                </c:pt>
                <c:pt idx="11">
                  <c:v>30.7908045977005</c:v>
                </c:pt>
                <c:pt idx="12">
                  <c:v>34.218518518517705</c:v>
                </c:pt>
                <c:pt idx="13">
                  <c:v>37.518518518517602</c:v>
                </c:pt>
              </c:numCache>
            </c:numRef>
          </c:xVal>
          <c:yVal>
            <c:numRef>
              <c:f>'2ступени'!$B$4:$B$18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</c:numCache>
            </c:numRef>
          </c:yVal>
          <c:smooth val="0"/>
        </c:ser>
        <c:ser>
          <c:idx val="7"/>
          <c:order val="1"/>
          <c:tx>
            <c:strRef>
              <c:f>'2ступени'!$Q$3</c:f>
              <c:strCache>
                <c:ptCount val="1"/>
                <c:pt idx="0">
                  <c:v>60_формула</c:v>
                </c:pt>
              </c:strCache>
            </c:strRef>
          </c:tx>
          <c:xVal>
            <c:numRef>
              <c:f>'2ступени'!$Q$4:$Q$18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'2ступени'!$B$4:$B$18</c:f>
              <c:numCache>
                <c:formatCode>General</c:formatCode>
                <c:ptCount val="1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968368"/>
        <c:axId val="586968760"/>
      </c:scatterChart>
      <c:valAx>
        <c:axId val="586968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86968760"/>
        <c:crosses val="autoZero"/>
        <c:crossBetween val="midCat"/>
      </c:valAx>
      <c:valAx>
        <c:axId val="586968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69683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046821795450201"/>
          <c:y val="4.2146764310267516E-2"/>
          <c:w val="0.65414783305636937"/>
          <c:h val="0.78225616499775474"/>
        </c:manualLayout>
      </c:layout>
      <c:scatterChart>
        <c:scatterStyle val="lineMarker"/>
        <c:varyColors val="0"/>
        <c:ser>
          <c:idx val="4"/>
          <c:order val="0"/>
          <c:tx>
            <c:strRef>
              <c:f>'Формирование таблиц'!#REF!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'Формирование таблиц'!#REF!</c:f>
            </c:numRef>
          </c:xVal>
          <c:yVal>
            <c:numRef>
              <c:f>'Формирование таблиц'!#REF!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5"/>
          <c:order val="1"/>
          <c:tx>
            <c:strRef>
              <c:f>'Формирование таблиц'!$I$4</c:f>
              <c:strCache>
                <c:ptCount val="1"/>
                <c:pt idx="0">
                  <c:v>10.0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'Формирование таблиц'!$AR$6:$AR$21</c:f>
              <c:numCache>
                <c:formatCode>General</c:formatCode>
                <c:ptCount val="16"/>
                <c:pt idx="0">
                  <c:v>6.3109244744446015E-4</c:v>
                </c:pt>
                <c:pt idx="1">
                  <c:v>9.2747129752586491E-3</c:v>
                </c:pt>
                <c:pt idx="2">
                  <c:v>4.0943595424760768E-2</c:v>
                </c:pt>
                <c:pt idx="3">
                  <c:v>0.11115523672229088</c:v>
                </c:pt>
                <c:pt idx="4">
                  <c:v>0.23212143628894716</c:v>
                </c:pt>
                <c:pt idx="5">
                  <c:v>0.6546089289255399</c:v>
                </c:pt>
                <c:pt idx="6">
                  <c:v>1.7564035475898097</c:v>
                </c:pt>
                <c:pt idx="7">
                  <c:v>2.7595567807088268</c:v>
                </c:pt>
                <c:pt idx="8">
                  <c:v>3.9378936263646307</c:v>
                </c:pt>
                <c:pt idx="9">
                  <c:v>5.2468506907516144</c:v>
                </c:pt>
                <c:pt idx="10">
                  <c:v>6.6495815485087597</c:v>
                </c:pt>
                <c:pt idx="11">
                  <c:v>8.1152162753684731</c:v>
                </c:pt>
                <c:pt idx="12">
                  <c:v>9.6188884247913755</c:v>
                </c:pt>
                <c:pt idx="13">
                  <c:v>11.141063303121916</c:v>
                </c:pt>
                <c:pt idx="14">
                  <c:v>12.666674308555422</c:v>
                </c:pt>
                <c:pt idx="15">
                  <c:v>14.18427766838396</c:v>
                </c:pt>
              </c:numCache>
            </c:numRef>
          </c:xVal>
          <c:yVal>
            <c:numRef>
              <c:f>'Формирование таблиц'!$B$6:$B$21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 formatCode="0.00">
                  <c:v>7</c:v>
                </c:pt>
                <c:pt idx="6" formatCode="0.00">
                  <c:v>10</c:v>
                </c:pt>
                <c:pt idx="7" formatCode="0.00">
                  <c:v>12</c:v>
                </c:pt>
                <c:pt idx="8" formatCode="0.00">
                  <c:v>14</c:v>
                </c:pt>
                <c:pt idx="9" formatCode="0.00">
                  <c:v>16</c:v>
                </c:pt>
                <c:pt idx="10" formatCode="0.00">
                  <c:v>18</c:v>
                </c:pt>
                <c:pt idx="11" formatCode="0.00">
                  <c:v>20</c:v>
                </c:pt>
                <c:pt idx="12" formatCode="0.00">
                  <c:v>22</c:v>
                </c:pt>
                <c:pt idx="13" formatCode="0.00">
                  <c:v>24</c:v>
                </c:pt>
                <c:pt idx="14" formatCode="0.00">
                  <c:v>26</c:v>
                </c:pt>
                <c:pt idx="15" formatCode="0.00">
                  <c:v>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686928"/>
        <c:axId val="590580664"/>
      </c:scatterChart>
      <c:valAx>
        <c:axId val="5806869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Производительность ДКС, млн.</a:t>
                </a:r>
                <a:r>
                  <a:rPr lang="ru-RU" baseline="0"/>
                  <a:t> м</a:t>
                </a:r>
                <a:r>
                  <a:rPr lang="ru-RU" baseline="30000"/>
                  <a:t>3</a:t>
                </a:r>
                <a:r>
                  <a:rPr lang="ru-RU" baseline="0"/>
                  <a:t>/сут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0580664"/>
        <c:crosses val="autoZero"/>
        <c:crossBetween val="midCat"/>
      </c:valAx>
      <c:valAx>
        <c:axId val="590580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Входное</a:t>
                </a:r>
                <a:r>
                  <a:rPr lang="ru-RU" baseline="0"/>
                  <a:t> давление, бар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0686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322536017118482"/>
          <c:y val="0.36270931101479598"/>
          <c:w val="8.9680269334330306E-2"/>
          <c:h val="0.2490245356175073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" l="0.70000000000000062" r="0.70000000000000062" t="0.750000000000002" header="0.30000000000000032" footer="0.30000000000000032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'Формирование таблиц'!$X$89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'Формирование таблиц'!$X$90:$X$100</c:f>
              <c:numCache>
                <c:formatCode>General</c:formatCode>
                <c:ptCount val="11"/>
              </c:numCache>
            </c:numRef>
          </c:xVal>
          <c:yVal>
            <c:numRef>
              <c:f>'Формирование таблиц'!$S$90:$S$100</c:f>
              <c:numCache>
                <c:formatCode>General</c:formatCode>
                <c:ptCount val="11"/>
              </c:numCache>
            </c:numRef>
          </c:yVal>
          <c:smooth val="0"/>
        </c:ser>
        <c:ser>
          <c:idx val="1"/>
          <c:order val="1"/>
          <c:tx>
            <c:strRef>
              <c:f>'Формирование таблиц'!$F$4</c:f>
              <c:strCache>
                <c:ptCount val="1"/>
                <c:pt idx="0">
                  <c:v>7.0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'Формирование таблиц'!$F$6:$F$15</c:f>
              <c:numCache>
                <c:formatCode>0.00</c:formatCode>
                <c:ptCount val="10"/>
                <c:pt idx="0">
                  <c:v>4.4176471321112209E-4</c:v>
                </c:pt>
                <c:pt idx="1">
                  <c:v>6.4923090896468966E-3</c:v>
                </c:pt>
                <c:pt idx="2">
                  <c:v>2.8661131867546492E-2</c:v>
                </c:pt>
                <c:pt idx="3">
                  <c:v>7.7815668847486294E-2</c:v>
                </c:pt>
                <c:pt idx="4">
                  <c:v>0.16252281819384293</c:v>
                </c:pt>
                <c:pt idx="5">
                  <c:v>0.45842956540333357</c:v>
                </c:pt>
                <c:pt idx="6">
                  <c:v>1.2308441633882081</c:v>
                </c:pt>
                <c:pt idx="7">
                  <c:v>1.9370261283140413</c:v>
                </c:pt>
                <c:pt idx="8">
                  <c:v>2.7676763946425345</c:v>
                </c:pt>
                <c:pt idx="9">
                  <c:v>3.692669194591427</c:v>
                </c:pt>
              </c:numCache>
            </c:numRef>
          </c:xVal>
          <c:yVal>
            <c:numRef>
              <c:f>'Формирование таблиц'!$B$6:$B$15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 formatCode="0.00">
                  <c:v>7</c:v>
                </c:pt>
                <c:pt idx="6" formatCode="0.00">
                  <c:v>10</c:v>
                </c:pt>
                <c:pt idx="7" formatCode="0.00">
                  <c:v>12</c:v>
                </c:pt>
                <c:pt idx="8" formatCode="0.00">
                  <c:v>14</c:v>
                </c:pt>
                <c:pt idx="9" formatCode="0.00">
                  <c:v>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581056"/>
        <c:axId val="590578312"/>
      </c:scatterChart>
      <c:valAx>
        <c:axId val="590581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0578312"/>
        <c:crosses val="autoZero"/>
        <c:crossBetween val="midCat"/>
      </c:valAx>
      <c:valAx>
        <c:axId val="59057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058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'Формирование таблиц'!$Y$89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'Формирование таблиц'!$Y$90:$Y$100</c:f>
              <c:numCache>
                <c:formatCode>General</c:formatCode>
                <c:ptCount val="11"/>
              </c:numCache>
            </c:numRef>
          </c:xVal>
          <c:yVal>
            <c:numRef>
              <c:f>'Формирование таблиц'!$S$90:$S$100</c:f>
              <c:numCache>
                <c:formatCode>General</c:formatCode>
                <c:ptCount val="11"/>
              </c:numCache>
            </c:numRef>
          </c:yVal>
          <c:smooth val="0"/>
        </c:ser>
        <c:ser>
          <c:idx val="1"/>
          <c:order val="1"/>
          <c:tx>
            <c:strRef>
              <c:f>'Формирование таблиц'!$G$4</c:f>
              <c:strCache>
                <c:ptCount val="1"/>
                <c:pt idx="0">
                  <c:v>8.0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'Формирование таблиц'!$G$6:$G$15</c:f>
              <c:numCache>
                <c:formatCode>0.00</c:formatCode>
                <c:ptCount val="10"/>
                <c:pt idx="0">
                  <c:v>5.0487395795556814E-4</c:v>
                </c:pt>
                <c:pt idx="1">
                  <c:v>7.4197780045602126E-3</c:v>
                </c:pt>
                <c:pt idx="2">
                  <c:v>3.2755344963118993E-2</c:v>
                </c:pt>
                <c:pt idx="3">
                  <c:v>8.8929525002957421E-2</c:v>
                </c:pt>
                <c:pt idx="4">
                  <c:v>0.18572595704544886</c:v>
                </c:pt>
                <c:pt idx="5">
                  <c:v>0.52384202951205139</c:v>
                </c:pt>
                <c:pt idx="6">
                  <c:v>1.4061600268851797</c:v>
                </c:pt>
                <c:pt idx="7">
                  <c:v>2.2117085512731958</c:v>
                </c:pt>
                <c:pt idx="8">
                  <c:v>3.158799530151124</c:v>
                </c:pt>
                <c:pt idx="9">
                  <c:v>4.2125943033249298</c:v>
                </c:pt>
              </c:numCache>
            </c:numRef>
          </c:xVal>
          <c:yVal>
            <c:numRef>
              <c:f>'Формирование таблиц'!$B$6:$B$15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 formatCode="0.00">
                  <c:v>7</c:v>
                </c:pt>
                <c:pt idx="6" formatCode="0.00">
                  <c:v>10</c:v>
                </c:pt>
                <c:pt idx="7" formatCode="0.00">
                  <c:v>12</c:v>
                </c:pt>
                <c:pt idx="8" formatCode="0.00">
                  <c:v>14</c:v>
                </c:pt>
                <c:pt idx="9" formatCode="0.00">
                  <c:v>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579096"/>
        <c:axId val="590578704"/>
      </c:scatterChart>
      <c:valAx>
        <c:axId val="590579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0578704"/>
        <c:crosses val="autoZero"/>
        <c:crossBetween val="midCat"/>
      </c:valAx>
      <c:valAx>
        <c:axId val="59057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0579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'Формирование таблиц'!$W$89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'Формирование таблиц'!$W$90:$W$100</c:f>
              <c:numCache>
                <c:formatCode>General</c:formatCode>
                <c:ptCount val="11"/>
              </c:numCache>
            </c:numRef>
          </c:xVal>
          <c:yVal>
            <c:numRef>
              <c:f>'Формирование таблиц'!$S$90:$S$100</c:f>
              <c:numCache>
                <c:formatCode>General</c:formatCode>
                <c:ptCount val="11"/>
              </c:numCache>
            </c:numRef>
          </c:yVal>
          <c:smooth val="0"/>
        </c:ser>
        <c:ser>
          <c:idx val="0"/>
          <c:order val="1"/>
          <c:tx>
            <c:strRef>
              <c:f>'Формирование таблиц'!$E$4</c:f>
              <c:strCache>
                <c:ptCount val="1"/>
                <c:pt idx="0">
                  <c:v>6.0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'Формирование таблиц'!$E$6:$E$15</c:f>
              <c:numCache>
                <c:formatCode>0.00</c:formatCode>
                <c:ptCount val="10"/>
                <c:pt idx="0">
                  <c:v>3.7865546846667608E-4</c:v>
                </c:pt>
                <c:pt idx="1">
                  <c:v>5.5648392216900659E-3</c:v>
                </c:pt>
                <c:pt idx="2">
                  <c:v>2.4566860194665641E-2</c:v>
                </c:pt>
                <c:pt idx="3">
                  <c:v>6.6701145777135887E-2</c:v>
                </c:pt>
                <c:pt idx="4">
                  <c:v>0.1393160789899964</c:v>
                </c:pt>
                <c:pt idx="5">
                  <c:v>0.3929977481580893</c:v>
                </c:pt>
                <c:pt idx="6">
                  <c:v>1.0553987570282497</c:v>
                </c:pt>
                <c:pt idx="7">
                  <c:v>1.6618368238617434</c:v>
                </c:pt>
                <c:pt idx="8">
                  <c:v>2.3754969242583739</c:v>
                </c:pt>
                <c:pt idx="9">
                  <c:v>3.1708655050182681</c:v>
                </c:pt>
              </c:numCache>
            </c:numRef>
          </c:xVal>
          <c:yVal>
            <c:numRef>
              <c:f>'Формирование таблиц'!$B$6:$B$15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 formatCode="0.00">
                  <c:v>7</c:v>
                </c:pt>
                <c:pt idx="6" formatCode="0.00">
                  <c:v>10</c:v>
                </c:pt>
                <c:pt idx="7" formatCode="0.00">
                  <c:v>12</c:v>
                </c:pt>
                <c:pt idx="8" formatCode="0.00">
                  <c:v>14</c:v>
                </c:pt>
                <c:pt idx="9" formatCode="0.00">
                  <c:v>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580272"/>
        <c:axId val="590579880"/>
      </c:scatterChart>
      <c:valAx>
        <c:axId val="59058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0579880"/>
        <c:crosses val="autoZero"/>
        <c:crossBetween val="midCat"/>
      </c:valAx>
      <c:valAx>
        <c:axId val="59057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058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70239728870826"/>
          <c:y val="5.1334834304604074E-2"/>
          <c:w val="0.83554112274794923"/>
          <c:h val="0.70580589620056566"/>
        </c:manualLayout>
      </c:layout>
      <c:scatterChart>
        <c:scatterStyle val="smoothMarker"/>
        <c:varyColors val="0"/>
        <c:ser>
          <c:idx val="2"/>
          <c:order val="0"/>
          <c:tx>
            <c:strRef>
              <c:f>'Формирование таблиц'!$G$5</c:f>
              <c:strCache>
                <c:ptCount val="1"/>
                <c:pt idx="0">
                  <c:v>80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'Формирование таблиц'!$G$6:$G$37</c:f>
              <c:numCache>
                <c:formatCode>0.00</c:formatCode>
                <c:ptCount val="32"/>
                <c:pt idx="0">
                  <c:v>5.0487395795556814E-4</c:v>
                </c:pt>
                <c:pt idx="1">
                  <c:v>7.4197780045602126E-3</c:v>
                </c:pt>
                <c:pt idx="2">
                  <c:v>3.2755344963118993E-2</c:v>
                </c:pt>
                <c:pt idx="3">
                  <c:v>8.8929525002957421E-2</c:v>
                </c:pt>
                <c:pt idx="4">
                  <c:v>0.18572595704544886</c:v>
                </c:pt>
                <c:pt idx="5">
                  <c:v>0.52384202951205139</c:v>
                </c:pt>
                <c:pt idx="6">
                  <c:v>1.4061600268851797</c:v>
                </c:pt>
                <c:pt idx="7">
                  <c:v>2.2117085512731958</c:v>
                </c:pt>
                <c:pt idx="8">
                  <c:v>3.158799530151124</c:v>
                </c:pt>
                <c:pt idx="9">
                  <c:v>4.2125943033249298</c:v>
                </c:pt>
                <c:pt idx="10">
                  <c:v>5.343670861389108</c:v>
                </c:pt>
                <c:pt idx="11">
                  <c:v>6.5272243592984038</c:v>
                </c:pt>
                <c:pt idx="12">
                  <c:v>7.7431347453694368</c:v>
                </c:pt>
                <c:pt idx="13">
                  <c:v>8.9754842022621055</c:v>
                </c:pt>
                <c:pt idx="14">
                  <c:v>10.211907188911491</c:v>
                </c:pt>
                <c:pt idx="15">
                  <c:v>11.442941593925301</c:v>
                </c:pt>
                <c:pt idx="16">
                  <c:v>12.661450602724042</c:v>
                </c:pt>
                <c:pt idx="17">
                  <c:v>13.862135884658745</c:v>
                </c:pt>
                <c:pt idx="18">
                  <c:v>15.041140394640188</c:v>
                </c:pt>
                <c:pt idx="19">
                  <c:v>16.195730247823828</c:v>
                </c:pt>
                <c:pt idx="20">
                  <c:v>17.324042750044796</c:v>
                </c:pt>
                <c:pt idx="21">
                  <c:v>18.424888157050155</c:v>
                </c:pt>
                <c:pt idx="22">
                  <c:v>19.497594317440893</c:v>
                </c:pt>
                <c:pt idx="23">
                  <c:v>20.541885192703177</c:v>
                </c:pt>
                <c:pt idx="24">
                  <c:v>21.557785980555607</c:v>
                </c:pt>
                <c:pt idx="25">
                  <c:v>22.545549063032624</c:v>
                </c:pt>
                <c:pt idx="26">
                  <c:v>23.505596232965978</c:v>
                </c:pt>
                <c:pt idx="27">
                  <c:v>24.438473641812266</c:v>
                </c:pt>
                <c:pt idx="28">
                  <c:v>25.344816693761523</c:v>
                </c:pt>
                <c:pt idx="29">
                  <c:v>26.22532272350146</c:v>
                </c:pt>
                <c:pt idx="30">
                  <c:v>27.080729772135477</c:v>
                </c:pt>
                <c:pt idx="31">
                  <c:v>27.911800146456759</c:v>
                </c:pt>
              </c:numCache>
            </c:numRef>
          </c:xVal>
          <c:yVal>
            <c:numRef>
              <c:f>'Формирование таблиц'!$B$6:$B$37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 formatCode="0.00">
                  <c:v>7</c:v>
                </c:pt>
                <c:pt idx="6" formatCode="0.00">
                  <c:v>10</c:v>
                </c:pt>
                <c:pt idx="7" formatCode="0.00">
                  <c:v>12</c:v>
                </c:pt>
                <c:pt idx="8" formatCode="0.00">
                  <c:v>14</c:v>
                </c:pt>
                <c:pt idx="9" formatCode="0.00">
                  <c:v>16</c:v>
                </c:pt>
                <c:pt idx="10" formatCode="0.00">
                  <c:v>18</c:v>
                </c:pt>
                <c:pt idx="11" formatCode="0.00">
                  <c:v>20</c:v>
                </c:pt>
                <c:pt idx="12" formatCode="0.00">
                  <c:v>22</c:v>
                </c:pt>
                <c:pt idx="13" formatCode="0.00">
                  <c:v>24</c:v>
                </c:pt>
                <c:pt idx="14" formatCode="0.00">
                  <c:v>26</c:v>
                </c:pt>
                <c:pt idx="15" formatCode="0.00">
                  <c:v>28</c:v>
                </c:pt>
                <c:pt idx="16" formatCode="0.00">
                  <c:v>30</c:v>
                </c:pt>
                <c:pt idx="17" formatCode="0.00">
                  <c:v>32</c:v>
                </c:pt>
                <c:pt idx="18" formatCode="0.00">
                  <c:v>34</c:v>
                </c:pt>
                <c:pt idx="19" formatCode="0.00">
                  <c:v>36</c:v>
                </c:pt>
                <c:pt idx="20" formatCode="0.00">
                  <c:v>38</c:v>
                </c:pt>
                <c:pt idx="21" formatCode="0.00">
                  <c:v>40</c:v>
                </c:pt>
                <c:pt idx="22" formatCode="0.00">
                  <c:v>42</c:v>
                </c:pt>
                <c:pt idx="23" formatCode="0.00">
                  <c:v>44</c:v>
                </c:pt>
                <c:pt idx="24" formatCode="0.00">
                  <c:v>46</c:v>
                </c:pt>
                <c:pt idx="25" formatCode="0.00">
                  <c:v>48</c:v>
                </c:pt>
                <c:pt idx="26" formatCode="0.00">
                  <c:v>50</c:v>
                </c:pt>
                <c:pt idx="27" formatCode="0.00">
                  <c:v>52</c:v>
                </c:pt>
                <c:pt idx="28" formatCode="0.00">
                  <c:v>54</c:v>
                </c:pt>
                <c:pt idx="29" formatCode="0.00">
                  <c:v>56</c:v>
                </c:pt>
                <c:pt idx="30" formatCode="0.00">
                  <c:v>58</c:v>
                </c:pt>
                <c:pt idx="31" formatCode="0.00">
                  <c:v>60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'Формирование таблиц'!$F$5</c:f>
              <c:strCache>
                <c:ptCount val="1"/>
                <c:pt idx="0">
                  <c:v>70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'Формирование таблиц'!$F$6:$F$37</c:f>
              <c:numCache>
                <c:formatCode>0.00</c:formatCode>
                <c:ptCount val="32"/>
                <c:pt idx="0">
                  <c:v>4.4176471321112209E-4</c:v>
                </c:pt>
                <c:pt idx="1">
                  <c:v>6.4923090896468966E-3</c:v>
                </c:pt>
                <c:pt idx="2">
                  <c:v>2.8661131867546492E-2</c:v>
                </c:pt>
                <c:pt idx="3">
                  <c:v>7.7815668847486294E-2</c:v>
                </c:pt>
                <c:pt idx="4">
                  <c:v>0.16252281819384293</c:v>
                </c:pt>
                <c:pt idx="5">
                  <c:v>0.45842956540333357</c:v>
                </c:pt>
                <c:pt idx="6">
                  <c:v>1.2308441633882081</c:v>
                </c:pt>
                <c:pt idx="7">
                  <c:v>1.9370261283140413</c:v>
                </c:pt>
                <c:pt idx="8">
                  <c:v>2.7676763946425345</c:v>
                </c:pt>
                <c:pt idx="9">
                  <c:v>3.692669194591427</c:v>
                </c:pt>
                <c:pt idx="10">
                  <c:v>4.686290461605453</c:v>
                </c:pt>
                <c:pt idx="11">
                  <c:v>5.7267921000663531</c:v>
                </c:pt>
                <c:pt idx="12">
                  <c:v>6.7964719181182707</c:v>
                </c:pt>
                <c:pt idx="13">
                  <c:v>7.8812753054043281</c:v>
                </c:pt>
                <c:pt idx="14">
                  <c:v>8.9702447453974976</c:v>
                </c:pt>
                <c:pt idx="15">
                  <c:v>10.054964462851853</c:v>
                </c:pt>
                <c:pt idx="16">
                  <c:v>11.129062124049794</c:v>
                </c:pt>
                <c:pt idx="17">
                  <c:v>12.187786910832576</c:v>
                </c:pt>
                <c:pt idx="18">
                  <c:v>13.227663619667901</c:v>
                </c:pt>
                <c:pt idx="19">
                  <c:v>14.246214440843479</c:v>
                </c:pt>
                <c:pt idx="20">
                  <c:v>15.241737738755921</c:v>
                </c:pt>
                <c:pt idx="21">
                  <c:v>16.213133378551177</c:v>
                </c:pt>
                <c:pt idx="22">
                  <c:v>17.159765378384851</c:v>
                </c:pt>
                <c:pt idx="23">
                  <c:v>18.081354171021257</c:v>
                </c:pt>
                <c:pt idx="24">
                  <c:v>18.977892205140357</c:v>
                </c:pt>
                <c:pt idx="25">
                  <c:v>19.849577880009427</c:v>
                </c:pt>
                <c:pt idx="26">
                  <c:v>20.696763857190511</c:v>
                </c:pt>
                <c:pt idx="27">
                  <c:v>21.519916641557671</c:v>
                </c:pt>
                <c:pt idx="28">
                  <c:v>22.319584998375319</c:v>
                </c:pt>
                <c:pt idx="29">
                  <c:v>23.096375303926479</c:v>
                </c:pt>
                <c:pt idx="30">
                  <c:v>23.850932342376542</c:v>
                </c:pt>
                <c:pt idx="31">
                  <c:v>24.58392438535256</c:v>
                </c:pt>
              </c:numCache>
            </c:numRef>
          </c:xVal>
          <c:yVal>
            <c:numRef>
              <c:f>'Формирование таблиц'!$B$6:$B$37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 formatCode="0.00">
                  <c:v>7</c:v>
                </c:pt>
                <c:pt idx="6" formatCode="0.00">
                  <c:v>10</c:v>
                </c:pt>
                <c:pt idx="7" formatCode="0.00">
                  <c:v>12</c:v>
                </c:pt>
                <c:pt idx="8" formatCode="0.00">
                  <c:v>14</c:v>
                </c:pt>
                <c:pt idx="9" formatCode="0.00">
                  <c:v>16</c:v>
                </c:pt>
                <c:pt idx="10" formatCode="0.00">
                  <c:v>18</c:v>
                </c:pt>
                <c:pt idx="11" formatCode="0.00">
                  <c:v>20</c:v>
                </c:pt>
                <c:pt idx="12" formatCode="0.00">
                  <c:v>22</c:v>
                </c:pt>
                <c:pt idx="13" formatCode="0.00">
                  <c:v>24</c:v>
                </c:pt>
                <c:pt idx="14" formatCode="0.00">
                  <c:v>26</c:v>
                </c:pt>
                <c:pt idx="15" formatCode="0.00">
                  <c:v>28</c:v>
                </c:pt>
                <c:pt idx="16" formatCode="0.00">
                  <c:v>30</c:v>
                </c:pt>
                <c:pt idx="17" formatCode="0.00">
                  <c:v>32</c:v>
                </c:pt>
                <c:pt idx="18" formatCode="0.00">
                  <c:v>34</c:v>
                </c:pt>
                <c:pt idx="19" formatCode="0.00">
                  <c:v>36</c:v>
                </c:pt>
                <c:pt idx="20" formatCode="0.00">
                  <c:v>38</c:v>
                </c:pt>
                <c:pt idx="21" formatCode="0.00">
                  <c:v>40</c:v>
                </c:pt>
                <c:pt idx="22" formatCode="0.00">
                  <c:v>42</c:v>
                </c:pt>
                <c:pt idx="23" formatCode="0.00">
                  <c:v>44</c:v>
                </c:pt>
                <c:pt idx="24" formatCode="0.00">
                  <c:v>46</c:v>
                </c:pt>
                <c:pt idx="25" formatCode="0.00">
                  <c:v>48</c:v>
                </c:pt>
                <c:pt idx="26" formatCode="0.00">
                  <c:v>50</c:v>
                </c:pt>
                <c:pt idx="27" formatCode="0.00">
                  <c:v>52</c:v>
                </c:pt>
                <c:pt idx="28" formatCode="0.00">
                  <c:v>54</c:v>
                </c:pt>
                <c:pt idx="29" formatCode="0.00">
                  <c:v>56</c:v>
                </c:pt>
                <c:pt idx="30" formatCode="0.00">
                  <c:v>58</c:v>
                </c:pt>
                <c:pt idx="31" formatCode="0.00">
                  <c:v>60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'Формирование таблиц'!$E$5</c:f>
              <c:strCache>
                <c:ptCount val="1"/>
                <c:pt idx="0">
                  <c:v>60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'Формирование таблиц'!$E$6:$E$42</c:f>
              <c:numCache>
                <c:formatCode>0.00</c:formatCode>
                <c:ptCount val="37"/>
                <c:pt idx="0">
                  <c:v>3.7865546846667608E-4</c:v>
                </c:pt>
                <c:pt idx="1">
                  <c:v>5.5648392216900659E-3</c:v>
                </c:pt>
                <c:pt idx="2">
                  <c:v>2.4566860194665641E-2</c:v>
                </c:pt>
                <c:pt idx="3">
                  <c:v>6.6701145777135887E-2</c:v>
                </c:pt>
                <c:pt idx="4">
                  <c:v>0.1393160789899964</c:v>
                </c:pt>
                <c:pt idx="5">
                  <c:v>0.3929977481580893</c:v>
                </c:pt>
                <c:pt idx="6">
                  <c:v>1.0553987570282497</c:v>
                </c:pt>
                <c:pt idx="7">
                  <c:v>1.6618368238617434</c:v>
                </c:pt>
                <c:pt idx="8">
                  <c:v>2.3754969242583739</c:v>
                </c:pt>
                <c:pt idx="9">
                  <c:v>3.1708655050182681</c:v>
                </c:pt>
                <c:pt idx="10">
                  <c:v>4.0259313183976895</c:v>
                </c:pt>
                <c:pt idx="11">
                  <c:v>4.9220177588324443</c:v>
                </c:pt>
                <c:pt idx="12">
                  <c:v>5.8438694798513877</c:v>
                </c:pt>
                <c:pt idx="13">
                  <c:v>6.7793314288552695</c:v>
                </c:pt>
                <c:pt idx="14">
                  <c:v>7.718892789813304</c:v>
                </c:pt>
                <c:pt idx="15">
                  <c:v>8.6552218272856223</c:v>
                </c:pt>
                <c:pt idx="16">
                  <c:v>9.5827455003150082</c:v>
                </c:pt>
                <c:pt idx="17">
                  <c:v>10.497291474989609</c:v>
                </c:pt>
                <c:pt idx="18">
                  <c:v>11.395793204413716</c:v>
                </c:pt>
                <c:pt idx="19">
                  <c:v>12.276051678356776</c:v>
                </c:pt>
                <c:pt idx="20">
                  <c:v>13.136545231640014</c:v>
                </c:pt>
                <c:pt idx="21">
                  <c:v>13.976278818649577</c:v>
                </c:pt>
                <c:pt idx="22">
                  <c:v>14.79466508973044</c:v>
                </c:pt>
                <c:pt idx="23">
                  <c:v>15.591430803852456</c:v>
                </c:pt>
                <c:pt idx="24">
                  <c:v>16.366543290554038</c:v>
                </c:pt>
                <c:pt idx="25">
                  <c:v>17.120152716867835</c:v>
                </c:pt>
                <c:pt idx="26">
                  <c:v>17.852546789523654</c:v>
                </c:pt>
                <c:pt idx="27">
                  <c:v>18.564115234550922</c:v>
                </c:pt>
                <c:pt idx="28">
                  <c:v>19.255321965461974</c:v>
                </c:pt>
                <c:pt idx="29">
                  <c:v>19.926683301210225</c:v>
                </c:pt>
                <c:pt idx="30">
                  <c:v>20.578750948704396</c:v>
                </c:pt>
                <c:pt idx="31">
                  <c:v>21.212098741486443</c:v>
                </c:pt>
                <c:pt idx="32">
                  <c:v>21.827312342554038</c:v>
                </c:pt>
                <c:pt idx="33">
                  <c:v>22.424981288368791</c:v>
                </c:pt>
                <c:pt idx="34">
                  <c:v>23.005692883259314</c:v>
                </c:pt>
                <c:pt idx="35">
                  <c:v>23.570027556875353</c:v>
                </c:pt>
                <c:pt idx="36">
                  <c:v>24.118555378446342</c:v>
                </c:pt>
              </c:numCache>
            </c:numRef>
          </c:xVal>
          <c:yVal>
            <c:numRef>
              <c:f>'Формирование таблиц'!$B$6:$B$42</c:f>
              <c:numCache>
                <c:formatCode>General</c:formatCode>
                <c:ptCount val="3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 formatCode="0.00">
                  <c:v>7</c:v>
                </c:pt>
                <c:pt idx="6" formatCode="0.00">
                  <c:v>10</c:v>
                </c:pt>
                <c:pt idx="7" formatCode="0.00">
                  <c:v>12</c:v>
                </c:pt>
                <c:pt idx="8" formatCode="0.00">
                  <c:v>14</c:v>
                </c:pt>
                <c:pt idx="9" formatCode="0.00">
                  <c:v>16</c:v>
                </c:pt>
                <c:pt idx="10" formatCode="0.00">
                  <c:v>18</c:v>
                </c:pt>
                <c:pt idx="11" formatCode="0.00">
                  <c:v>20</c:v>
                </c:pt>
                <c:pt idx="12" formatCode="0.00">
                  <c:v>22</c:v>
                </c:pt>
                <c:pt idx="13" formatCode="0.00">
                  <c:v>24</c:v>
                </c:pt>
                <c:pt idx="14" formatCode="0.00">
                  <c:v>26</c:v>
                </c:pt>
                <c:pt idx="15" formatCode="0.00">
                  <c:v>28</c:v>
                </c:pt>
                <c:pt idx="16" formatCode="0.00">
                  <c:v>30</c:v>
                </c:pt>
                <c:pt idx="17" formatCode="0.00">
                  <c:v>32</c:v>
                </c:pt>
                <c:pt idx="18" formatCode="0.00">
                  <c:v>34</c:v>
                </c:pt>
                <c:pt idx="19" formatCode="0.00">
                  <c:v>36</c:v>
                </c:pt>
                <c:pt idx="20" formatCode="0.00">
                  <c:v>38</c:v>
                </c:pt>
                <c:pt idx="21" formatCode="0.00">
                  <c:v>40</c:v>
                </c:pt>
                <c:pt idx="22" formatCode="0.00">
                  <c:v>42</c:v>
                </c:pt>
                <c:pt idx="23" formatCode="0.00">
                  <c:v>44</c:v>
                </c:pt>
                <c:pt idx="24" formatCode="0.00">
                  <c:v>46</c:v>
                </c:pt>
                <c:pt idx="25" formatCode="0.00">
                  <c:v>48</c:v>
                </c:pt>
                <c:pt idx="26" formatCode="0.00">
                  <c:v>50</c:v>
                </c:pt>
                <c:pt idx="27" formatCode="0.00">
                  <c:v>52</c:v>
                </c:pt>
                <c:pt idx="28" formatCode="0.00">
                  <c:v>54</c:v>
                </c:pt>
                <c:pt idx="29" formatCode="0.00">
                  <c:v>56</c:v>
                </c:pt>
                <c:pt idx="30" formatCode="0.00">
                  <c:v>58</c:v>
                </c:pt>
                <c:pt idx="31" formatCode="0.00">
                  <c:v>60</c:v>
                </c:pt>
                <c:pt idx="32" formatCode="0.00">
                  <c:v>62</c:v>
                </c:pt>
                <c:pt idx="33" formatCode="0.00">
                  <c:v>64</c:v>
                </c:pt>
                <c:pt idx="34" formatCode="0.00">
                  <c:v>66</c:v>
                </c:pt>
                <c:pt idx="35" formatCode="0.00">
                  <c:v>68</c:v>
                </c:pt>
                <c:pt idx="36" formatCode="0.00">
                  <c:v>70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'Формирование таблиц'!$D$5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'Формирование таблиц'!$D$6:$D$42</c:f>
              <c:numCache>
                <c:formatCode>0.00</c:formatCode>
                <c:ptCount val="37"/>
                <c:pt idx="0">
                  <c:v>3.1554622372223008E-4</c:v>
                </c:pt>
                <c:pt idx="1">
                  <c:v>4.6373684006890516E-3</c:v>
                </c:pt>
                <c:pt idx="2">
                  <c:v>2.0472529943870985E-2</c:v>
                </c:pt>
                <c:pt idx="3">
                  <c:v>5.5585955753647769E-2</c:v>
                </c:pt>
                <c:pt idx="4">
                  <c:v>0.11610573878455221</c:v>
                </c:pt>
                <c:pt idx="5">
                  <c:v>0.32754657012187072</c:v>
                </c:pt>
                <c:pt idx="6">
                  <c:v>0.87982370217192662</c:v>
                </c:pt>
                <c:pt idx="7">
                  <c:v>1.386139630078858</c:v>
                </c:pt>
                <c:pt idx="8">
                  <c:v>1.9822568985718905</c:v>
                </c:pt>
                <c:pt idx="9">
                  <c:v>2.6471726994916462</c:v>
                </c:pt>
                <c:pt idx="10">
                  <c:v>3.3625717492591201</c:v>
                </c:pt>
                <c:pt idx="11">
                  <c:v>4.1128625957597382</c:v>
                </c:pt>
                <c:pt idx="12">
                  <c:v>4.8852651199517467</c:v>
                </c:pt>
                <c:pt idx="13">
                  <c:v>5.6695600657248857</c:v>
                </c:pt>
                <c:pt idx="14">
                  <c:v>6.4577222862163932</c:v>
                </c:pt>
                <c:pt idx="15">
                  <c:v>7.2435423684056213</c:v>
                </c:pt>
                <c:pt idx="16">
                  <c:v>8.0222821258223522</c:v>
                </c:pt>
                <c:pt idx="17">
                  <c:v>8.7903795060710657</c:v>
                </c:pt>
                <c:pt idx="18">
                  <c:v>9.5452042648772011</c:v>
                </c:pt>
                <c:pt idx="19">
                  <c:v>10.284859705013039</c:v>
                </c:pt>
                <c:pt idx="20">
                  <c:v>11.008023762748175</c:v>
                </c:pt>
                <c:pt idx="21">
                  <c:v>11.713822596493142</c:v>
                </c:pt>
                <c:pt idx="22">
                  <c:v>12.401730497749071</c:v>
                </c:pt>
                <c:pt idx="23">
                  <c:v>13.071490866355225</c:v>
                </c:pt>
                <c:pt idx="24">
                  <c:v>13.72305392162567</c:v>
                </c:pt>
                <c:pt idx="25">
                  <c:v>14.356527655131631</c:v>
                </c:pt>
                <c:pt idx="26">
                  <c:v>14.972139237439734</c:v>
                </c:pt>
                <c:pt idx="27">
                  <c:v>15.570204670509508</c:v>
                </c:pt>
                <c:pt idx="28">
                  <c:v>16.151104943493195</c:v>
                </c:pt>
                <c:pt idx="29">
                  <c:v>16.715267320163029</c:v>
                </c:pt>
                <c:pt idx="30">
                  <c:v>17.263150678627351</c:v>
                </c:pt>
                <c:pt idx="31">
                  <c:v>17.795234053890894</c:v>
                </c:pt>
                <c:pt idx="32">
                  <c:v>18.312007714173717</c:v>
                </c:pt>
                <c:pt idx="33">
                  <c:v>18.81396624330598</c:v>
                </c:pt>
                <c:pt idx="34">
                  <c:v>19.30160321240988</c:v>
                </c:pt>
                <c:pt idx="35">
                  <c:v>19.775407111131578</c:v>
                </c:pt>
                <c:pt idx="36">
                  <c:v>20.23585827711717</c:v>
                </c:pt>
              </c:numCache>
            </c:numRef>
          </c:xVal>
          <c:yVal>
            <c:numRef>
              <c:f>'Формирование таблиц'!$B$6:$B$42</c:f>
              <c:numCache>
                <c:formatCode>General</c:formatCode>
                <c:ptCount val="3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 formatCode="0.00">
                  <c:v>7</c:v>
                </c:pt>
                <c:pt idx="6" formatCode="0.00">
                  <c:v>10</c:v>
                </c:pt>
                <c:pt idx="7" formatCode="0.00">
                  <c:v>12</c:v>
                </c:pt>
                <c:pt idx="8" formatCode="0.00">
                  <c:v>14</c:v>
                </c:pt>
                <c:pt idx="9" formatCode="0.00">
                  <c:v>16</c:v>
                </c:pt>
                <c:pt idx="10" formatCode="0.00">
                  <c:v>18</c:v>
                </c:pt>
                <c:pt idx="11" formatCode="0.00">
                  <c:v>20</c:v>
                </c:pt>
                <c:pt idx="12" formatCode="0.00">
                  <c:v>22</c:v>
                </c:pt>
                <c:pt idx="13" formatCode="0.00">
                  <c:v>24</c:v>
                </c:pt>
                <c:pt idx="14" formatCode="0.00">
                  <c:v>26</c:v>
                </c:pt>
                <c:pt idx="15" formatCode="0.00">
                  <c:v>28</c:v>
                </c:pt>
                <c:pt idx="16" formatCode="0.00">
                  <c:v>30</c:v>
                </c:pt>
                <c:pt idx="17" formatCode="0.00">
                  <c:v>32</c:v>
                </c:pt>
                <c:pt idx="18" formatCode="0.00">
                  <c:v>34</c:v>
                </c:pt>
                <c:pt idx="19" formatCode="0.00">
                  <c:v>36</c:v>
                </c:pt>
                <c:pt idx="20" formatCode="0.00">
                  <c:v>38</c:v>
                </c:pt>
                <c:pt idx="21" formatCode="0.00">
                  <c:v>40</c:v>
                </c:pt>
                <c:pt idx="22" formatCode="0.00">
                  <c:v>42</c:v>
                </c:pt>
                <c:pt idx="23" formatCode="0.00">
                  <c:v>44</c:v>
                </c:pt>
                <c:pt idx="24" formatCode="0.00">
                  <c:v>46</c:v>
                </c:pt>
                <c:pt idx="25" formatCode="0.00">
                  <c:v>48</c:v>
                </c:pt>
                <c:pt idx="26" formatCode="0.00">
                  <c:v>50</c:v>
                </c:pt>
                <c:pt idx="27" formatCode="0.00">
                  <c:v>52</c:v>
                </c:pt>
                <c:pt idx="28" formatCode="0.00">
                  <c:v>54</c:v>
                </c:pt>
                <c:pt idx="29" formatCode="0.00">
                  <c:v>56</c:v>
                </c:pt>
                <c:pt idx="30" formatCode="0.00">
                  <c:v>58</c:v>
                </c:pt>
                <c:pt idx="31" formatCode="0.00">
                  <c:v>60</c:v>
                </c:pt>
                <c:pt idx="32" formatCode="0.00">
                  <c:v>62</c:v>
                </c:pt>
                <c:pt idx="33" formatCode="0.00">
                  <c:v>64</c:v>
                </c:pt>
                <c:pt idx="34" formatCode="0.00">
                  <c:v>66</c:v>
                </c:pt>
                <c:pt idx="35" formatCode="0.00">
                  <c:v>68</c:v>
                </c:pt>
                <c:pt idx="36" formatCode="0.00">
                  <c:v>70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786848"/>
        <c:axId val="593785672"/>
      </c:scatterChart>
      <c:valAx>
        <c:axId val="59378684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ru-RU"/>
                  <a:t>Начальное давление, бар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593785672"/>
        <c:crosses val="autoZero"/>
        <c:crossBetween val="midCat"/>
      </c:valAx>
      <c:valAx>
        <c:axId val="59378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ru-RU"/>
                  <a:t>Расход, млн. м³/сут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593786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902042332543169"/>
          <c:y val="0.92527103019107237"/>
          <c:w val="0.69880073237564311"/>
          <c:h val="5.73310938350409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4"/>
          <c:order val="4"/>
          <c:tx>
            <c:strRef>
              <c:f>огиб!$D$33</c:f>
              <c:strCache>
                <c:ptCount val="1"/>
                <c:pt idx="0">
                  <c:v>Политропный процесс</c:v>
                </c:pt>
              </c:strCache>
            </c:strRef>
          </c:tx>
          <c:spPr>
            <a:ln w="127000" cap="rnd">
              <a:solidFill>
                <a:schemeClr val="accent5">
                  <a:alpha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огиб!$D$34:$D$74</c:f>
              <c:numCache>
                <c:formatCode>General</c:formatCode>
                <c:ptCount val="41"/>
                <c:pt idx="0">
                  <c:v>4.0523791243301389E-2</c:v>
                </c:pt>
                <c:pt idx="1">
                  <c:v>0.14894579234686664</c:v>
                </c:pt>
                <c:pt idx="2">
                  <c:v>0.31644394867978365</c:v>
                </c:pt>
                <c:pt idx="3">
                  <c:v>0.52030746446229514</c:v>
                </c:pt>
                <c:pt idx="4">
                  <c:v>0.74176624186346052</c:v>
                </c:pt>
                <c:pt idx="5">
                  <c:v>0.96834494750729072</c:v>
                </c:pt>
                <c:pt idx="6">
                  <c:v>1.1924893459485679</c:v>
                </c:pt>
                <c:pt idx="7">
                  <c:v>1.4099017540717129</c:v>
                </c:pt>
                <c:pt idx="8">
                  <c:v>1.6183124807236446</c:v>
                </c:pt>
                <c:pt idx="9">
                  <c:v>1.8166809251129619</c:v>
                </c:pt>
                <c:pt idx="10">
                  <c:v>2.0046982401602818</c:v>
                </c:pt>
                <c:pt idx="11">
                  <c:v>2.1824823303269643</c:v>
                </c:pt>
                <c:pt idx="12">
                  <c:v>2.350391642408713</c:v>
                </c:pt>
                <c:pt idx="13">
                  <c:v>2.5089116984348858</c:v>
                </c:pt>
                <c:pt idx="14">
                  <c:v>2.6585862107667566</c:v>
                </c:pt>
                <c:pt idx="15">
                  <c:v>2.7999756384517753</c:v>
                </c:pt>
                <c:pt idx="16">
                  <c:v>2.9336327130364825</c:v>
                </c:pt>
                <c:pt idx="17">
                  <c:v>3.0600884913208297</c:v>
                </c:pt>
                <c:pt idx="18">
                  <c:v>3.1798449397816739</c:v>
                </c:pt>
                <c:pt idx="19">
                  <c:v>3.2933715542778845</c:v>
                </c:pt>
                <c:pt idx="20">
                  <c:v>3.4011044454253483</c:v>
                </c:pt>
                <c:pt idx="21">
                  <c:v>3.5034468985152167</c:v>
                </c:pt>
                <c:pt idx="22">
                  <c:v>3.6007707811230172</c:v>
                </c:pt>
                <c:pt idx="23">
                  <c:v>3.6934184027091357</c:v>
                </c:pt>
                <c:pt idx="24">
                  <c:v>3.7817045781056997</c:v>
                </c:pt>
                <c:pt idx="25">
                  <c:v>3.8659187414423557</c:v>
                </c:pt>
                <c:pt idx="26">
                  <c:v>4.359968862809275</c:v>
                </c:pt>
                <c:pt idx="27">
                  <c:v>4.538679520305184</c:v>
                </c:pt>
                <c:pt idx="28">
                  <c:v>4.7079729265104833</c:v>
                </c:pt>
                <c:pt idx="29">
                  <c:v>4.8577452624845643</c:v>
                </c:pt>
                <c:pt idx="30">
                  <c:v>4.9916065247570423</c:v>
                </c:pt>
              </c:numCache>
            </c:numRef>
          </c:xVal>
          <c:yVal>
            <c:numRef>
              <c:f>огиб!$C$34:$C$74</c:f>
              <c:numCache>
                <c:formatCode>General</c:formatCode>
                <c:ptCount val="41"/>
                <c:pt idx="0">
                  <c:v>5</c:v>
                </c:pt>
                <c:pt idx="1">
                  <c:v>8</c:v>
                </c:pt>
                <c:pt idx="2">
                  <c:v>11</c:v>
                </c:pt>
                <c:pt idx="3">
                  <c:v>14</c:v>
                </c:pt>
                <c:pt idx="4">
                  <c:v>17</c:v>
                </c:pt>
                <c:pt idx="5">
                  <c:v>20</c:v>
                </c:pt>
                <c:pt idx="6">
                  <c:v>23</c:v>
                </c:pt>
                <c:pt idx="7">
                  <c:v>26</c:v>
                </c:pt>
                <c:pt idx="8">
                  <c:v>29</c:v>
                </c:pt>
                <c:pt idx="9">
                  <c:v>32</c:v>
                </c:pt>
                <c:pt idx="10">
                  <c:v>35</c:v>
                </c:pt>
                <c:pt idx="11">
                  <c:v>38</c:v>
                </c:pt>
                <c:pt idx="12">
                  <c:v>41</c:v>
                </c:pt>
                <c:pt idx="13">
                  <c:v>44</c:v>
                </c:pt>
                <c:pt idx="14">
                  <c:v>47</c:v>
                </c:pt>
                <c:pt idx="15">
                  <c:v>50</c:v>
                </c:pt>
                <c:pt idx="16">
                  <c:v>53</c:v>
                </c:pt>
                <c:pt idx="17">
                  <c:v>56</c:v>
                </c:pt>
                <c:pt idx="18">
                  <c:v>59</c:v>
                </c:pt>
                <c:pt idx="19">
                  <c:v>62</c:v>
                </c:pt>
                <c:pt idx="20">
                  <c:v>65</c:v>
                </c:pt>
                <c:pt idx="21">
                  <c:v>68</c:v>
                </c:pt>
                <c:pt idx="22">
                  <c:v>71</c:v>
                </c:pt>
                <c:pt idx="23">
                  <c:v>74</c:v>
                </c:pt>
                <c:pt idx="24">
                  <c:v>77</c:v>
                </c:pt>
                <c:pt idx="25">
                  <c:v>80</c:v>
                </c:pt>
                <c:pt idx="26">
                  <c:v>100</c:v>
                </c:pt>
                <c:pt idx="27">
                  <c:v>110</c:v>
                </c:pt>
                <c:pt idx="28">
                  <c:v>120</c:v>
                </c:pt>
                <c:pt idx="29">
                  <c:v>130</c:v>
                </c:pt>
                <c:pt idx="30">
                  <c:v>140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785280"/>
        <c:axId val="593787632"/>
      </c:scatterChart>
      <c:scatterChart>
        <c:scatterStyle val="lineMarker"/>
        <c:varyColors val="0"/>
        <c:ser>
          <c:idx val="0"/>
          <c:order val="0"/>
          <c:tx>
            <c:strRef>
              <c:f>огиб!$K$33</c:f>
              <c:strCache>
                <c:ptCount val="1"/>
                <c:pt idx="0">
                  <c:v>ГПА16-76 1.7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огиб!$K$34:$K$52</c:f>
              <c:numCache>
                <c:formatCode>General</c:formatCode>
                <c:ptCount val="19"/>
                <c:pt idx="0">
                  <c:v>4.05</c:v>
                </c:pt>
                <c:pt idx="1">
                  <c:v>4.05</c:v>
                </c:pt>
                <c:pt idx="2">
                  <c:v>4.29</c:v>
                </c:pt>
                <c:pt idx="3">
                  <c:v>4.05</c:v>
                </c:pt>
                <c:pt idx="4">
                  <c:v>4.05</c:v>
                </c:pt>
                <c:pt idx="5">
                  <c:v>4.08</c:v>
                </c:pt>
                <c:pt idx="6">
                  <c:v>4.13</c:v>
                </c:pt>
                <c:pt idx="7">
                  <c:v>4.29</c:v>
                </c:pt>
                <c:pt idx="8">
                  <c:v>4.05</c:v>
                </c:pt>
                <c:pt idx="9">
                  <c:v>4.08</c:v>
                </c:pt>
                <c:pt idx="10">
                  <c:v>4.1100000000000003</c:v>
                </c:pt>
                <c:pt idx="11">
                  <c:v>4.05</c:v>
                </c:pt>
                <c:pt idx="12">
                  <c:v>4.0599999999999996</c:v>
                </c:pt>
                <c:pt idx="13">
                  <c:v>4.08</c:v>
                </c:pt>
                <c:pt idx="14">
                  <c:v>4.0999999999999996</c:v>
                </c:pt>
                <c:pt idx="15">
                  <c:v>4.05</c:v>
                </c:pt>
                <c:pt idx="16">
                  <c:v>4.0599999999999996</c:v>
                </c:pt>
                <c:pt idx="17">
                  <c:v>4.08</c:v>
                </c:pt>
                <c:pt idx="18">
                  <c:v>4.29</c:v>
                </c:pt>
              </c:numCache>
            </c:numRef>
          </c:xVal>
          <c:yVal>
            <c:numRef>
              <c:f>огиб!$J$34:$J$52</c:f>
              <c:numCache>
                <c:formatCode>General</c:formatCode>
                <c:ptCount val="19"/>
                <c:pt idx="0">
                  <c:v>10</c:v>
                </c:pt>
                <c:pt idx="1">
                  <c:v>14</c:v>
                </c:pt>
                <c:pt idx="2">
                  <c:v>20</c:v>
                </c:pt>
                <c:pt idx="3">
                  <c:v>24</c:v>
                </c:pt>
                <c:pt idx="4">
                  <c:v>28</c:v>
                </c:pt>
                <c:pt idx="5">
                  <c:v>32</c:v>
                </c:pt>
                <c:pt idx="6">
                  <c:v>36</c:v>
                </c:pt>
                <c:pt idx="7">
                  <c:v>40</c:v>
                </c:pt>
                <c:pt idx="8">
                  <c:v>44</c:v>
                </c:pt>
                <c:pt idx="9">
                  <c:v>48</c:v>
                </c:pt>
                <c:pt idx="10">
                  <c:v>52</c:v>
                </c:pt>
                <c:pt idx="11">
                  <c:v>56</c:v>
                </c:pt>
                <c:pt idx="12">
                  <c:v>60</c:v>
                </c:pt>
                <c:pt idx="13">
                  <c:v>64</c:v>
                </c:pt>
                <c:pt idx="14">
                  <c:v>68</c:v>
                </c:pt>
                <c:pt idx="15">
                  <c:v>72</c:v>
                </c:pt>
                <c:pt idx="16">
                  <c:v>76</c:v>
                </c:pt>
                <c:pt idx="17">
                  <c:v>80</c:v>
                </c:pt>
                <c:pt idx="18">
                  <c:v>100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огиб!$L$33</c:f>
              <c:strCache>
                <c:ptCount val="1"/>
                <c:pt idx="0">
                  <c:v>ГПА16-76 2.2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огиб!$L$34:$L$54</c:f>
              <c:numCache>
                <c:formatCode>General</c:formatCode>
                <c:ptCount val="21"/>
                <c:pt idx="0">
                  <c:v>3.05</c:v>
                </c:pt>
                <c:pt idx="1">
                  <c:v>3.69</c:v>
                </c:pt>
                <c:pt idx="2">
                  <c:v>3.05</c:v>
                </c:pt>
                <c:pt idx="3">
                  <c:v>3.3</c:v>
                </c:pt>
                <c:pt idx="4">
                  <c:v>3.03</c:v>
                </c:pt>
                <c:pt idx="5">
                  <c:v>3.07</c:v>
                </c:pt>
                <c:pt idx="6">
                  <c:v>3.02</c:v>
                </c:pt>
                <c:pt idx="7">
                  <c:v>3.05</c:v>
                </c:pt>
                <c:pt idx="8">
                  <c:v>3.02</c:v>
                </c:pt>
                <c:pt idx="9">
                  <c:v>3.04</c:v>
                </c:pt>
                <c:pt idx="10">
                  <c:v>3.06</c:v>
                </c:pt>
                <c:pt idx="11">
                  <c:v>3.12</c:v>
                </c:pt>
                <c:pt idx="12">
                  <c:v>3.3</c:v>
                </c:pt>
                <c:pt idx="13">
                  <c:v>3.46</c:v>
                </c:pt>
                <c:pt idx="14">
                  <c:v>3.6</c:v>
                </c:pt>
                <c:pt idx="15">
                  <c:v>3.76</c:v>
                </c:pt>
                <c:pt idx="16">
                  <c:v>3.98</c:v>
                </c:pt>
              </c:numCache>
            </c:numRef>
          </c:xVal>
          <c:yVal>
            <c:numRef>
              <c:f>огиб!$J$34:$J$54</c:f>
              <c:numCache>
                <c:formatCode>General</c:formatCode>
                <c:ptCount val="21"/>
                <c:pt idx="0">
                  <c:v>10</c:v>
                </c:pt>
                <c:pt idx="1">
                  <c:v>14</c:v>
                </c:pt>
                <c:pt idx="2">
                  <c:v>20</c:v>
                </c:pt>
                <c:pt idx="3">
                  <c:v>24</c:v>
                </c:pt>
                <c:pt idx="4">
                  <c:v>28</c:v>
                </c:pt>
                <c:pt idx="5">
                  <c:v>32</c:v>
                </c:pt>
                <c:pt idx="6">
                  <c:v>36</c:v>
                </c:pt>
                <c:pt idx="7">
                  <c:v>40</c:v>
                </c:pt>
                <c:pt idx="8">
                  <c:v>44</c:v>
                </c:pt>
                <c:pt idx="9">
                  <c:v>48</c:v>
                </c:pt>
                <c:pt idx="10">
                  <c:v>52</c:v>
                </c:pt>
                <c:pt idx="11">
                  <c:v>56</c:v>
                </c:pt>
                <c:pt idx="12">
                  <c:v>60</c:v>
                </c:pt>
                <c:pt idx="13">
                  <c:v>64</c:v>
                </c:pt>
                <c:pt idx="14">
                  <c:v>68</c:v>
                </c:pt>
                <c:pt idx="15">
                  <c:v>72</c:v>
                </c:pt>
                <c:pt idx="16">
                  <c:v>76</c:v>
                </c:pt>
                <c:pt idx="17">
                  <c:v>80</c:v>
                </c:pt>
                <c:pt idx="18">
                  <c:v>100</c:v>
                </c:pt>
                <c:pt idx="19">
                  <c:v>120</c:v>
                </c:pt>
                <c:pt idx="20">
                  <c:v>150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огиб!$M$33</c:f>
              <c:strCache>
                <c:ptCount val="1"/>
                <c:pt idx="0">
                  <c:v>ГПА16-76 1.44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огиб!$M$34:$M$54</c:f>
              <c:numCache>
                <c:formatCode>General</c:formatCode>
                <c:ptCount val="21"/>
                <c:pt idx="2">
                  <c:v>5.58</c:v>
                </c:pt>
                <c:pt idx="3">
                  <c:v>4.87</c:v>
                </c:pt>
                <c:pt idx="4">
                  <c:v>4.91</c:v>
                </c:pt>
                <c:pt idx="5">
                  <c:v>5.08</c:v>
                </c:pt>
                <c:pt idx="6">
                  <c:v>5.27</c:v>
                </c:pt>
                <c:pt idx="7">
                  <c:v>5.46</c:v>
                </c:pt>
                <c:pt idx="8">
                  <c:v>4.8600000000000003</c:v>
                </c:pt>
                <c:pt idx="9">
                  <c:v>4.87</c:v>
                </c:pt>
                <c:pt idx="10">
                  <c:v>4.88</c:v>
                </c:pt>
                <c:pt idx="11">
                  <c:v>4.91</c:v>
                </c:pt>
                <c:pt idx="12">
                  <c:v>4.96</c:v>
                </c:pt>
                <c:pt idx="13">
                  <c:v>4.8600000000000003</c:v>
                </c:pt>
                <c:pt idx="14">
                  <c:v>4.8600000000000003</c:v>
                </c:pt>
                <c:pt idx="15">
                  <c:v>4.87</c:v>
                </c:pt>
                <c:pt idx="16">
                  <c:v>4.88</c:v>
                </c:pt>
                <c:pt idx="17">
                  <c:v>4.8899999999999997</c:v>
                </c:pt>
                <c:pt idx="18">
                  <c:v>4.87</c:v>
                </c:pt>
                <c:pt idx="19">
                  <c:v>4.87</c:v>
                </c:pt>
                <c:pt idx="20">
                  <c:v>4.96</c:v>
                </c:pt>
              </c:numCache>
            </c:numRef>
          </c:xVal>
          <c:yVal>
            <c:numRef>
              <c:f>огиб!$J$34:$J$54</c:f>
              <c:numCache>
                <c:formatCode>General</c:formatCode>
                <c:ptCount val="21"/>
                <c:pt idx="0">
                  <c:v>10</c:v>
                </c:pt>
                <c:pt idx="1">
                  <c:v>14</c:v>
                </c:pt>
                <c:pt idx="2">
                  <c:v>20</c:v>
                </c:pt>
                <c:pt idx="3">
                  <c:v>24</c:v>
                </c:pt>
                <c:pt idx="4">
                  <c:v>28</c:v>
                </c:pt>
                <c:pt idx="5">
                  <c:v>32</c:v>
                </c:pt>
                <c:pt idx="6">
                  <c:v>36</c:v>
                </c:pt>
                <c:pt idx="7">
                  <c:v>40</c:v>
                </c:pt>
                <c:pt idx="8">
                  <c:v>44</c:v>
                </c:pt>
                <c:pt idx="9">
                  <c:v>48</c:v>
                </c:pt>
                <c:pt idx="10">
                  <c:v>52</c:v>
                </c:pt>
                <c:pt idx="11">
                  <c:v>56</c:v>
                </c:pt>
                <c:pt idx="12">
                  <c:v>60</c:v>
                </c:pt>
                <c:pt idx="13">
                  <c:v>64</c:v>
                </c:pt>
                <c:pt idx="14">
                  <c:v>68</c:v>
                </c:pt>
                <c:pt idx="15">
                  <c:v>72</c:v>
                </c:pt>
                <c:pt idx="16">
                  <c:v>76</c:v>
                </c:pt>
                <c:pt idx="17">
                  <c:v>80</c:v>
                </c:pt>
                <c:pt idx="18">
                  <c:v>100</c:v>
                </c:pt>
                <c:pt idx="19">
                  <c:v>120</c:v>
                </c:pt>
                <c:pt idx="20">
                  <c:v>150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огиб!$N$33</c:f>
              <c:strCache>
                <c:ptCount val="1"/>
                <c:pt idx="0">
                  <c:v>ГПА16-76 3.0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огиб!$N$34:$N$54</c:f>
              <c:numCache>
                <c:formatCode>General</c:formatCode>
                <c:ptCount val="21"/>
                <c:pt idx="0">
                  <c:v>2.91</c:v>
                </c:pt>
                <c:pt idx="1">
                  <c:v>2.12</c:v>
                </c:pt>
                <c:pt idx="2">
                  <c:v>2.11</c:v>
                </c:pt>
                <c:pt idx="3">
                  <c:v>2.11</c:v>
                </c:pt>
                <c:pt idx="4">
                  <c:v>2.11</c:v>
                </c:pt>
                <c:pt idx="5">
                  <c:v>2.11</c:v>
                </c:pt>
                <c:pt idx="6">
                  <c:v>2.14</c:v>
                </c:pt>
                <c:pt idx="7">
                  <c:v>2.37</c:v>
                </c:pt>
                <c:pt idx="8">
                  <c:v>2.6</c:v>
                </c:pt>
                <c:pt idx="9">
                  <c:v>2.81</c:v>
                </c:pt>
                <c:pt idx="10">
                  <c:v>3.02</c:v>
                </c:pt>
                <c:pt idx="11">
                  <c:v>3.36</c:v>
                </c:pt>
              </c:numCache>
            </c:numRef>
          </c:xVal>
          <c:yVal>
            <c:numRef>
              <c:f>огиб!$J$34:$J$54</c:f>
              <c:numCache>
                <c:formatCode>General</c:formatCode>
                <c:ptCount val="21"/>
                <c:pt idx="0">
                  <c:v>10</c:v>
                </c:pt>
                <c:pt idx="1">
                  <c:v>14</c:v>
                </c:pt>
                <c:pt idx="2">
                  <c:v>20</c:v>
                </c:pt>
                <c:pt idx="3">
                  <c:v>24</c:v>
                </c:pt>
                <c:pt idx="4">
                  <c:v>28</c:v>
                </c:pt>
                <c:pt idx="5">
                  <c:v>32</c:v>
                </c:pt>
                <c:pt idx="6">
                  <c:v>36</c:v>
                </c:pt>
                <c:pt idx="7">
                  <c:v>40</c:v>
                </c:pt>
                <c:pt idx="8">
                  <c:v>44</c:v>
                </c:pt>
                <c:pt idx="9">
                  <c:v>48</c:v>
                </c:pt>
                <c:pt idx="10">
                  <c:v>52</c:v>
                </c:pt>
                <c:pt idx="11">
                  <c:v>56</c:v>
                </c:pt>
                <c:pt idx="12">
                  <c:v>60</c:v>
                </c:pt>
                <c:pt idx="13">
                  <c:v>64</c:v>
                </c:pt>
                <c:pt idx="14">
                  <c:v>68</c:v>
                </c:pt>
                <c:pt idx="15">
                  <c:v>72</c:v>
                </c:pt>
                <c:pt idx="16">
                  <c:v>76</c:v>
                </c:pt>
                <c:pt idx="17">
                  <c:v>80</c:v>
                </c:pt>
                <c:pt idx="18">
                  <c:v>100</c:v>
                </c:pt>
                <c:pt idx="19">
                  <c:v>120</c:v>
                </c:pt>
                <c:pt idx="20">
                  <c:v>150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огиб!$O$33</c:f>
              <c:strCache>
                <c:ptCount val="1"/>
                <c:pt idx="0">
                  <c:v>ГПА16-41 2.2 + ГПА16-76 3.0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огиб!$O$34:$O$54</c:f>
              <c:numCache>
                <c:formatCode>General</c:formatCode>
                <c:ptCount val="21"/>
                <c:pt idx="1">
                  <c:v>0.97</c:v>
                </c:pt>
                <c:pt idx="2">
                  <c:v>1.1599999999999999</c:v>
                </c:pt>
                <c:pt idx="3">
                  <c:v>1.35</c:v>
                </c:pt>
                <c:pt idx="4">
                  <c:v>1.57</c:v>
                </c:pt>
                <c:pt idx="5">
                  <c:v>1.87</c:v>
                </c:pt>
              </c:numCache>
            </c:numRef>
          </c:xVal>
          <c:yVal>
            <c:numRef>
              <c:f>огиб!$J$34:$J$54</c:f>
              <c:numCache>
                <c:formatCode>General</c:formatCode>
                <c:ptCount val="21"/>
                <c:pt idx="0">
                  <c:v>10</c:v>
                </c:pt>
                <c:pt idx="1">
                  <c:v>14</c:v>
                </c:pt>
                <c:pt idx="2">
                  <c:v>20</c:v>
                </c:pt>
                <c:pt idx="3">
                  <c:v>24</c:v>
                </c:pt>
                <c:pt idx="4">
                  <c:v>28</c:v>
                </c:pt>
                <c:pt idx="5">
                  <c:v>32</c:v>
                </c:pt>
                <c:pt idx="6">
                  <c:v>36</c:v>
                </c:pt>
                <c:pt idx="7">
                  <c:v>40</c:v>
                </c:pt>
                <c:pt idx="8">
                  <c:v>44</c:v>
                </c:pt>
                <c:pt idx="9">
                  <c:v>48</c:v>
                </c:pt>
                <c:pt idx="10">
                  <c:v>52</c:v>
                </c:pt>
                <c:pt idx="11">
                  <c:v>56</c:v>
                </c:pt>
                <c:pt idx="12">
                  <c:v>60</c:v>
                </c:pt>
                <c:pt idx="13">
                  <c:v>64</c:v>
                </c:pt>
                <c:pt idx="14">
                  <c:v>68</c:v>
                </c:pt>
                <c:pt idx="15">
                  <c:v>72</c:v>
                </c:pt>
                <c:pt idx="16">
                  <c:v>76</c:v>
                </c:pt>
                <c:pt idx="17">
                  <c:v>80</c:v>
                </c:pt>
                <c:pt idx="18">
                  <c:v>100</c:v>
                </c:pt>
                <c:pt idx="19">
                  <c:v>120</c:v>
                </c:pt>
                <c:pt idx="20">
                  <c:v>150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785280"/>
        <c:axId val="593787632"/>
      </c:scatterChart>
      <c:valAx>
        <c:axId val="593785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ru-RU" b="1"/>
                  <a:t>Давление входа, МПа</a:t>
                </a:r>
              </a:p>
              <a:p>
                <a:pPr>
                  <a:defRPr b="1"/>
                </a:pPr>
                <a:endParaRPr lang="ru-RU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593787632"/>
        <c:crosses val="autoZero"/>
        <c:crossBetween val="midCat"/>
      </c:valAx>
      <c:valAx>
        <c:axId val="59378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ru-RU" b="1"/>
                  <a:t>Расход, млн.м³/сут</a:t>
                </a:r>
              </a:p>
              <a:p>
                <a:pPr>
                  <a:defRPr b="1"/>
                </a:pPr>
                <a:endParaRPr lang="ru-RU" b="1"/>
              </a:p>
            </c:rich>
          </c:tx>
          <c:layout>
            <c:manualLayout>
              <c:xMode val="edge"/>
              <c:yMode val="edge"/>
              <c:x val="1.2629679747406405E-2"/>
              <c:y val="0.304136379585681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593785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огиб!$AX$41</c:f>
              <c:strCache>
                <c:ptCount val="1"/>
                <c:pt idx="0">
                  <c:v>Прогноз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огиб!$AV$15:$AV$56</c:f>
              <c:numCache>
                <c:formatCode>General</c:formatCode>
                <c:ptCount val="42"/>
                <c:pt idx="13">
                  <c:v>4.2533448160000003</c:v>
                </c:pt>
                <c:pt idx="14">
                  <c:v>3.887755243</c:v>
                </c:pt>
                <c:pt idx="15">
                  <c:v>3.722864113</c:v>
                </c:pt>
                <c:pt idx="16">
                  <c:v>3.622332884</c:v>
                </c:pt>
                <c:pt idx="17">
                  <c:v>3.0286606279999999</c:v>
                </c:pt>
                <c:pt idx="18">
                  <c:v>2.929946202</c:v>
                </c:pt>
                <c:pt idx="19">
                  <c:v>2.8915813990000001</c:v>
                </c:pt>
                <c:pt idx="20">
                  <c:v>2.7269211530000002</c:v>
                </c:pt>
                <c:pt idx="21">
                  <c:v>2.64311213</c:v>
                </c:pt>
                <c:pt idx="22">
                  <c:v>2.4758264429999999</c:v>
                </c:pt>
                <c:pt idx="23">
                  <c:v>2.3992645540000002</c:v>
                </c:pt>
                <c:pt idx="24">
                  <c:v>2.2286626030000001</c:v>
                </c:pt>
                <c:pt idx="25">
                  <c:v>2.1594394509999999</c:v>
                </c:pt>
                <c:pt idx="26">
                  <c:v>2.0285393190000001</c:v>
                </c:pt>
                <c:pt idx="27">
                  <c:v>1.979983845</c:v>
                </c:pt>
                <c:pt idx="28">
                  <c:v>1.893917214</c:v>
                </c:pt>
                <c:pt idx="29">
                  <c:v>1.8641902690000001</c:v>
                </c:pt>
                <c:pt idx="30">
                  <c:v>1.82462064</c:v>
                </c:pt>
                <c:pt idx="31">
                  <c:v>1.8330723520000001</c:v>
                </c:pt>
                <c:pt idx="32">
                  <c:v>1.77511866</c:v>
                </c:pt>
              </c:numCache>
            </c:numRef>
          </c:xVal>
          <c:yVal>
            <c:numRef>
              <c:f>огиб!$AU$15:$AU$56</c:f>
              <c:numCache>
                <c:formatCode>General</c:formatCode>
                <c:ptCount val="42"/>
                <c:pt idx="13">
                  <c:v>62.070741499999997</c:v>
                </c:pt>
                <c:pt idx="14">
                  <c:v>66.247398950000004</c:v>
                </c:pt>
                <c:pt idx="15">
                  <c:v>68.479214900000002</c:v>
                </c:pt>
                <c:pt idx="16">
                  <c:v>67.517223880000003</c:v>
                </c:pt>
                <c:pt idx="17">
                  <c:v>66.022692289999995</c:v>
                </c:pt>
                <c:pt idx="18">
                  <c:v>65.187973029999995</c:v>
                </c:pt>
                <c:pt idx="19">
                  <c:v>64.561467730000004</c:v>
                </c:pt>
                <c:pt idx="20">
                  <c:v>61.903673650000002</c:v>
                </c:pt>
                <c:pt idx="21">
                  <c:v>59.739733559999998</c:v>
                </c:pt>
                <c:pt idx="22">
                  <c:v>56.547313940000002</c:v>
                </c:pt>
                <c:pt idx="23">
                  <c:v>55.145408889999999</c:v>
                </c:pt>
                <c:pt idx="24">
                  <c:v>51.929436410000001</c:v>
                </c:pt>
                <c:pt idx="25">
                  <c:v>50.695774620000002</c:v>
                </c:pt>
                <c:pt idx="26">
                  <c:v>47.400323219999997</c:v>
                </c:pt>
                <c:pt idx="27">
                  <c:v>45.885338699999998</c:v>
                </c:pt>
                <c:pt idx="28">
                  <c:v>42.8213279</c:v>
                </c:pt>
                <c:pt idx="29">
                  <c:v>41.452716520000003</c:v>
                </c:pt>
                <c:pt idx="30">
                  <c:v>38.53090624</c:v>
                </c:pt>
                <c:pt idx="31">
                  <c:v>36.435511929999997</c:v>
                </c:pt>
                <c:pt idx="32">
                  <c:v>33.505127289999997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огиб!$AJ$39</c:f>
              <c:strCache>
                <c:ptCount val="1"/>
                <c:pt idx="0">
                  <c:v>5 ГПА 16МВт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огиб!$AJ$40:$AJ$70</c:f>
              <c:numCache>
                <c:formatCode>General</c:formatCode>
                <c:ptCount val="31"/>
                <c:pt idx="0">
                  <c:v>2.8683509189321034E-2</c:v>
                </c:pt>
                <c:pt idx="1">
                  <c:v>0.10687582772677404</c:v>
                </c:pt>
                <c:pt idx="2">
                  <c:v>0.22934866388403341</c:v>
                </c:pt>
                <c:pt idx="3">
                  <c:v>0.37995801972392262</c:v>
                </c:pt>
                <c:pt idx="4">
                  <c:v>0.54485056549479161</c:v>
                </c:pt>
                <c:pt idx="5">
                  <c:v>0.71458576247614625</c:v>
                </c:pt>
                <c:pt idx="6">
                  <c:v>0.88332134797541739</c:v>
                </c:pt>
                <c:pt idx="7">
                  <c:v>1.0476537181169236</c:v>
                </c:pt>
                <c:pt idx="8">
                  <c:v>1.2057250359088261</c:v>
                </c:pt>
                <c:pt idx="9">
                  <c:v>1.3566290863543979</c:v>
                </c:pt>
                <c:pt idx="10">
                  <c:v>1.5000354102505682</c:v>
                </c:pt>
                <c:pt idx="11">
                  <c:v>1.635955759307693</c:v>
                </c:pt>
                <c:pt idx="12">
                  <c:v>1.7645997934109643</c:v>
                </c:pt>
                <c:pt idx="13">
                  <c:v>1.8862860759704785</c:v>
                </c:pt>
                <c:pt idx="14">
                  <c:v>2.001387309622547</c:v>
                </c:pt>
                <c:pt idx="15">
                  <c:v>2.1102968514202551</c:v>
                </c:pt>
                <c:pt idx="16">
                  <c:v>2.2134085153026106</c:v>
                </c:pt>
                <c:pt idx="17">
                  <c:v>2.3111047034176826</c:v>
                </c:pt>
                <c:pt idx="18">
                  <c:v>2.4037497666509275</c:v>
                </c:pt>
                <c:pt idx="19">
                  <c:v>2.4916866419302832</c:v>
                </c:pt>
                <c:pt idx="20">
                  <c:v>2.5752355282594479</c:v>
                </c:pt>
                <c:pt idx="21">
                  <c:v>2.6546938124006716</c:v>
                </c:pt>
                <c:pt idx="22">
                  <c:v>2.730336739796301</c:v>
                </c:pt>
                <c:pt idx="23">
                  <c:v>2.8024185082533557</c:v>
                </c:pt>
                <c:pt idx="24">
                  <c:v>2.8711735789810442</c:v>
                </c:pt>
                <c:pt idx="25">
                  <c:v>2.9368180752929671</c:v>
                </c:pt>
                <c:pt idx="26">
                  <c:v>3.3245167352284897</c:v>
                </c:pt>
                <c:pt idx="27">
                  <c:v>3.4636919081897068</c:v>
                </c:pt>
                <c:pt idx="28">
                  <c:v>3.596827730096646</c:v>
                </c:pt>
                <c:pt idx="29">
                  <c:v>3.7147337369424731</c:v>
                </c:pt>
                <c:pt idx="30">
                  <c:v>3.8202863087278396</c:v>
                </c:pt>
              </c:numCache>
            </c:numRef>
          </c:xVal>
          <c:yVal>
            <c:numRef>
              <c:f>огиб!$AI$40:$AI$70</c:f>
              <c:numCache>
                <c:formatCode>General</c:formatCode>
                <c:ptCount val="31"/>
                <c:pt idx="0">
                  <c:v>5</c:v>
                </c:pt>
                <c:pt idx="1">
                  <c:v>8</c:v>
                </c:pt>
                <c:pt idx="2">
                  <c:v>11</c:v>
                </c:pt>
                <c:pt idx="3">
                  <c:v>14</c:v>
                </c:pt>
                <c:pt idx="4">
                  <c:v>17</c:v>
                </c:pt>
                <c:pt idx="5">
                  <c:v>20</c:v>
                </c:pt>
                <c:pt idx="6">
                  <c:v>23</c:v>
                </c:pt>
                <c:pt idx="7">
                  <c:v>26</c:v>
                </c:pt>
                <c:pt idx="8">
                  <c:v>29</c:v>
                </c:pt>
                <c:pt idx="9">
                  <c:v>32</c:v>
                </c:pt>
                <c:pt idx="10">
                  <c:v>35</c:v>
                </c:pt>
                <c:pt idx="11">
                  <c:v>38</c:v>
                </c:pt>
                <c:pt idx="12">
                  <c:v>41</c:v>
                </c:pt>
                <c:pt idx="13">
                  <c:v>44</c:v>
                </c:pt>
                <c:pt idx="14">
                  <c:v>47</c:v>
                </c:pt>
                <c:pt idx="15">
                  <c:v>50</c:v>
                </c:pt>
                <c:pt idx="16">
                  <c:v>53</c:v>
                </c:pt>
                <c:pt idx="17">
                  <c:v>56</c:v>
                </c:pt>
                <c:pt idx="18">
                  <c:v>59</c:v>
                </c:pt>
                <c:pt idx="19">
                  <c:v>62</c:v>
                </c:pt>
                <c:pt idx="20">
                  <c:v>65</c:v>
                </c:pt>
                <c:pt idx="21">
                  <c:v>68</c:v>
                </c:pt>
                <c:pt idx="22">
                  <c:v>71</c:v>
                </c:pt>
                <c:pt idx="23">
                  <c:v>74</c:v>
                </c:pt>
                <c:pt idx="24">
                  <c:v>77</c:v>
                </c:pt>
                <c:pt idx="25">
                  <c:v>80</c:v>
                </c:pt>
                <c:pt idx="26">
                  <c:v>100</c:v>
                </c:pt>
                <c:pt idx="27">
                  <c:v>110</c:v>
                </c:pt>
                <c:pt idx="28">
                  <c:v>120</c:v>
                </c:pt>
                <c:pt idx="29">
                  <c:v>130</c:v>
                </c:pt>
                <c:pt idx="30">
                  <c:v>140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огиб!$AK$39</c:f>
              <c:strCache>
                <c:ptCount val="1"/>
                <c:pt idx="0">
                  <c:v>4 ГПА 16МВт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огиб!$AK$40:$AK$70</c:f>
              <c:numCache>
                <c:formatCode>General</c:formatCode>
                <c:ptCount val="31"/>
                <c:pt idx="0">
                  <c:v>5.5023728874372929E-2</c:v>
                </c:pt>
                <c:pt idx="1">
                  <c:v>0.18486082876777415</c:v>
                </c:pt>
                <c:pt idx="2">
                  <c:v>0.36744419459393862</c:v>
                </c:pt>
                <c:pt idx="3">
                  <c:v>0.57421847849706886</c:v>
                </c:pt>
                <c:pt idx="4">
                  <c:v>0.78681896159033404</c:v>
                </c:pt>
                <c:pt idx="5">
                  <c:v>0.99527523715612265</c:v>
                </c:pt>
                <c:pt idx="6">
                  <c:v>1.1946814521825895</c:v>
                </c:pt>
                <c:pt idx="7">
                  <c:v>1.382930363075773</c:v>
                </c:pt>
                <c:pt idx="8">
                  <c:v>1.5594087055798307</c:v>
                </c:pt>
                <c:pt idx="9">
                  <c:v>1.7242785711148334</c:v>
                </c:pt>
                <c:pt idx="10">
                  <c:v>1.8780856971058253</c:v>
                </c:pt>
                <c:pt idx="11">
                  <c:v>2.0215465364518148</c:v>
                </c:pt>
                <c:pt idx="12">
                  <c:v>2.1554332365515916</c:v>
                </c:pt>
                <c:pt idx="13">
                  <c:v>2.2805126330653067</c:v>
                </c:pt>
                <c:pt idx="14">
                  <c:v>2.3975152408278424</c:v>
                </c:pt>
                <c:pt idx="15">
                  <c:v>2.5071209396610659</c:v>
                </c:pt>
                <c:pt idx="16">
                  <c:v>2.6099538981663675</c:v>
                </c:pt>
                <c:pt idx="17">
                  <c:v>2.7065825144457718</c:v>
                </c:pt>
                <c:pt idx="18">
                  <c:v>2.7975219704350955</c:v>
                </c:pt>
                <c:pt idx="19">
                  <c:v>2.8832380311239136</c:v>
                </c:pt>
                <c:pt idx="20">
                  <c:v>2.964151315113984</c:v>
                </c:pt>
                <c:pt idx="21">
                  <c:v>3.0406416079307164</c:v>
                </c:pt>
                <c:pt idx="22">
                  <c:v>3.1130519901251055</c:v>
                </c:pt>
                <c:pt idx="23">
                  <c:v>3.1816926686573757</c:v>
                </c:pt>
                <c:pt idx="24">
                  <c:v>3.2468444670224708</c:v>
                </c:pt>
                <c:pt idx="25">
                  <c:v>3.3087619673033699</c:v>
                </c:pt>
                <c:pt idx="26">
                  <c:v>3.6677187150186481</c:v>
                </c:pt>
                <c:pt idx="27">
                  <c:v>3.7957680058181738</c:v>
                </c:pt>
                <c:pt idx="28">
                  <c:v>3.916313312820217</c:v>
                </c:pt>
                <c:pt idx="29">
                  <c:v>4.0223375780740449</c:v>
                </c:pt>
                <c:pt idx="30">
                  <c:v>4.1166105119796432</c:v>
                </c:pt>
              </c:numCache>
            </c:numRef>
          </c:xVal>
          <c:yVal>
            <c:numRef>
              <c:f>огиб!$AI$40:$AI$70</c:f>
              <c:numCache>
                <c:formatCode>General</c:formatCode>
                <c:ptCount val="31"/>
                <c:pt idx="0">
                  <c:v>5</c:v>
                </c:pt>
                <c:pt idx="1">
                  <c:v>8</c:v>
                </c:pt>
                <c:pt idx="2">
                  <c:v>11</c:v>
                </c:pt>
                <c:pt idx="3">
                  <c:v>14</c:v>
                </c:pt>
                <c:pt idx="4">
                  <c:v>17</c:v>
                </c:pt>
                <c:pt idx="5">
                  <c:v>20</c:v>
                </c:pt>
                <c:pt idx="6">
                  <c:v>23</c:v>
                </c:pt>
                <c:pt idx="7">
                  <c:v>26</c:v>
                </c:pt>
                <c:pt idx="8">
                  <c:v>29</c:v>
                </c:pt>
                <c:pt idx="9">
                  <c:v>32</c:v>
                </c:pt>
                <c:pt idx="10">
                  <c:v>35</c:v>
                </c:pt>
                <c:pt idx="11">
                  <c:v>38</c:v>
                </c:pt>
                <c:pt idx="12">
                  <c:v>41</c:v>
                </c:pt>
                <c:pt idx="13">
                  <c:v>44</c:v>
                </c:pt>
                <c:pt idx="14">
                  <c:v>47</c:v>
                </c:pt>
                <c:pt idx="15">
                  <c:v>50</c:v>
                </c:pt>
                <c:pt idx="16">
                  <c:v>53</c:v>
                </c:pt>
                <c:pt idx="17">
                  <c:v>56</c:v>
                </c:pt>
                <c:pt idx="18">
                  <c:v>59</c:v>
                </c:pt>
                <c:pt idx="19">
                  <c:v>62</c:v>
                </c:pt>
                <c:pt idx="20">
                  <c:v>65</c:v>
                </c:pt>
                <c:pt idx="21">
                  <c:v>68</c:v>
                </c:pt>
                <c:pt idx="22">
                  <c:v>71</c:v>
                </c:pt>
                <c:pt idx="23">
                  <c:v>74</c:v>
                </c:pt>
                <c:pt idx="24">
                  <c:v>77</c:v>
                </c:pt>
                <c:pt idx="25">
                  <c:v>80</c:v>
                </c:pt>
                <c:pt idx="26">
                  <c:v>100</c:v>
                </c:pt>
                <c:pt idx="27">
                  <c:v>110</c:v>
                </c:pt>
                <c:pt idx="28">
                  <c:v>120</c:v>
                </c:pt>
                <c:pt idx="29">
                  <c:v>130</c:v>
                </c:pt>
                <c:pt idx="30">
                  <c:v>140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огиб!$AL$39</c:f>
              <c:strCache>
                <c:ptCount val="1"/>
                <c:pt idx="0">
                  <c:v>3 ГПА 16МВт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огиб!$AL$40:$AL$70</c:f>
              <c:numCache>
                <c:formatCode>General</c:formatCode>
                <c:ptCount val="31"/>
                <c:pt idx="0">
                  <c:v>0.11889774657585278</c:v>
                </c:pt>
                <c:pt idx="1">
                  <c:v>0.34656651954211581</c:v>
                </c:pt>
                <c:pt idx="2">
                  <c:v>0.62356259418231696</c:v>
                </c:pt>
                <c:pt idx="3">
                  <c:v>0.90638373335898215</c:v>
                </c:pt>
                <c:pt idx="4">
                  <c:v>1.176194811583622</c:v>
                </c:pt>
                <c:pt idx="5">
                  <c:v>1.4263413114219208</c:v>
                </c:pt>
                <c:pt idx="6">
                  <c:v>1.6554663532502276</c:v>
                </c:pt>
                <c:pt idx="7">
                  <c:v>1.8643934817255221</c:v>
                </c:pt>
                <c:pt idx="8">
                  <c:v>2.0547557921395119</c:v>
                </c:pt>
                <c:pt idx="9">
                  <c:v>2.2283965975435427</c:v>
                </c:pt>
                <c:pt idx="10">
                  <c:v>2.3871136480286337</c:v>
                </c:pt>
                <c:pt idx="11">
                  <c:v>2.5325584288629566</c:v>
                </c:pt>
                <c:pt idx="12">
                  <c:v>2.6662056669972172</c:v>
                </c:pt>
                <c:pt idx="13">
                  <c:v>2.7893539723952578</c:v>
                </c:pt>
                <c:pt idx="14">
                  <c:v>2.9031393637654261</c:v>
                </c:pt>
                <c:pt idx="15">
                  <c:v>3.0085531438763269</c:v>
                </c:pt>
                <c:pt idx="16">
                  <c:v>3.1064602130252466</c:v>
                </c:pt>
                <c:pt idx="17">
                  <c:v>3.1976161337069806</c:v>
                </c:pt>
                <c:pt idx="18">
                  <c:v>3.2826823285777955</c:v>
                </c:pt>
                <c:pt idx="19">
                  <c:v>3.3622392974870343</c:v>
                </c:pt>
                <c:pt idx="20">
                  <c:v>3.4367979642199677</c:v>
                </c:pt>
                <c:pt idx="21">
                  <c:v>3.5068093513819889</c:v>
                </c:pt>
                <c:pt idx="22">
                  <c:v>3.5726728035200535</c:v>
                </c:pt>
                <c:pt idx="23">
                  <c:v>3.6347429698449476</c:v>
                </c:pt>
                <c:pt idx="24">
                  <c:v>3.6933357366946375</c:v>
                </c:pt>
                <c:pt idx="25">
                  <c:v>3.7487332749779037</c:v>
                </c:pt>
                <c:pt idx="26">
                  <c:v>4.0629092726377936</c:v>
                </c:pt>
                <c:pt idx="27">
                  <c:v>4.1747035053862742</c:v>
                </c:pt>
                <c:pt idx="28">
                  <c:v>4.2777807970518253</c:v>
                </c:pt>
                <c:pt idx="29">
                  <c:v>4.3677628763497767</c:v>
                </c:pt>
                <c:pt idx="30">
                  <c:v>4.4471720778260666</c:v>
                </c:pt>
              </c:numCache>
            </c:numRef>
          </c:xVal>
          <c:yVal>
            <c:numRef>
              <c:f>огиб!$AI$40:$AI$70</c:f>
              <c:numCache>
                <c:formatCode>General</c:formatCode>
                <c:ptCount val="31"/>
                <c:pt idx="0">
                  <c:v>5</c:v>
                </c:pt>
                <c:pt idx="1">
                  <c:v>8</c:v>
                </c:pt>
                <c:pt idx="2">
                  <c:v>11</c:v>
                </c:pt>
                <c:pt idx="3">
                  <c:v>14</c:v>
                </c:pt>
                <c:pt idx="4">
                  <c:v>17</c:v>
                </c:pt>
                <c:pt idx="5">
                  <c:v>20</c:v>
                </c:pt>
                <c:pt idx="6">
                  <c:v>23</c:v>
                </c:pt>
                <c:pt idx="7">
                  <c:v>26</c:v>
                </c:pt>
                <c:pt idx="8">
                  <c:v>29</c:v>
                </c:pt>
                <c:pt idx="9">
                  <c:v>32</c:v>
                </c:pt>
                <c:pt idx="10">
                  <c:v>35</c:v>
                </c:pt>
                <c:pt idx="11">
                  <c:v>38</c:v>
                </c:pt>
                <c:pt idx="12">
                  <c:v>41</c:v>
                </c:pt>
                <c:pt idx="13">
                  <c:v>44</c:v>
                </c:pt>
                <c:pt idx="14">
                  <c:v>47</c:v>
                </c:pt>
                <c:pt idx="15">
                  <c:v>50</c:v>
                </c:pt>
                <c:pt idx="16">
                  <c:v>53</c:v>
                </c:pt>
                <c:pt idx="17">
                  <c:v>56</c:v>
                </c:pt>
                <c:pt idx="18">
                  <c:v>59</c:v>
                </c:pt>
                <c:pt idx="19">
                  <c:v>62</c:v>
                </c:pt>
                <c:pt idx="20">
                  <c:v>65</c:v>
                </c:pt>
                <c:pt idx="21">
                  <c:v>68</c:v>
                </c:pt>
                <c:pt idx="22">
                  <c:v>71</c:v>
                </c:pt>
                <c:pt idx="23">
                  <c:v>74</c:v>
                </c:pt>
                <c:pt idx="24">
                  <c:v>77</c:v>
                </c:pt>
                <c:pt idx="25">
                  <c:v>80</c:v>
                </c:pt>
                <c:pt idx="26">
                  <c:v>100</c:v>
                </c:pt>
                <c:pt idx="27">
                  <c:v>110</c:v>
                </c:pt>
                <c:pt idx="28">
                  <c:v>120</c:v>
                </c:pt>
                <c:pt idx="29">
                  <c:v>130</c:v>
                </c:pt>
                <c:pt idx="30">
                  <c:v>140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огиб!$AM$39</c:f>
              <c:strCache>
                <c:ptCount val="1"/>
                <c:pt idx="0">
                  <c:v>2 ГПА 16МВт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огиб!$AM$40:$AM$70</c:f>
              <c:numCache>
                <c:formatCode>General</c:formatCode>
                <c:ptCount val="31"/>
                <c:pt idx="0">
                  <c:v>0.30529877335640587</c:v>
                </c:pt>
                <c:pt idx="1">
                  <c:v>0.72319409233507248</c:v>
                </c:pt>
                <c:pt idx="2">
                  <c:v>1.1388816036102059</c:v>
                </c:pt>
                <c:pt idx="3">
                  <c:v>1.5115423076734369</c:v>
                </c:pt>
                <c:pt idx="4">
                  <c:v>1.8369212761253959</c:v>
                </c:pt>
                <c:pt idx="5">
                  <c:v>2.1197371740082258</c:v>
                </c:pt>
                <c:pt idx="6">
                  <c:v>2.3662773752734889</c:v>
                </c:pt>
                <c:pt idx="7">
                  <c:v>2.5823816516083244</c:v>
                </c:pt>
                <c:pt idx="8">
                  <c:v>2.7729962797374097</c:v>
                </c:pt>
                <c:pt idx="9">
                  <c:v>2.9421850472554802</c:v>
                </c:pt>
                <c:pt idx="10">
                  <c:v>3.09325754946736</c:v>
                </c:pt>
                <c:pt idx="11">
                  <c:v>3.2289097934852782</c:v>
                </c:pt>
                <c:pt idx="12">
                  <c:v>3.3513472849355699</c:v>
                </c:pt>
                <c:pt idx="13">
                  <c:v>3.4623851459313078</c:v>
                </c:pt>
                <c:pt idx="14">
                  <c:v>3.5635272721241562</c:v>
                </c:pt>
                <c:pt idx="15">
                  <c:v>3.656028288101441</c:v>
                </c:pt>
                <c:pt idx="16">
                  <c:v>3.7409419628541811</c:v>
                </c:pt>
                <c:pt idx="17">
                  <c:v>3.8191591464326264</c:v>
                </c:pt>
                <c:pt idx="18">
                  <c:v>3.8914376412940146</c:v>
                </c:pt>
                <c:pt idx="19">
                  <c:v>3.9584258641032943</c:v>
                </c:pt>
                <c:pt idx="20">
                  <c:v>4.0206817105625703</c:v>
                </c:pt>
                <c:pt idx="21">
                  <c:v>4.0786876957935947</c:v>
                </c:pt>
                <c:pt idx="22">
                  <c:v>4.1328631858855651</c:v>
                </c:pt>
                <c:pt idx="23">
                  <c:v>4.183574343239191</c:v>
                </c:pt>
                <c:pt idx="24">
                  <c:v>4.2311422634557578</c:v>
                </c:pt>
                <c:pt idx="25">
                  <c:v>4.2758496724831501</c:v>
                </c:pt>
                <c:pt idx="26">
                  <c:v>4.5227513211977799</c:v>
                </c:pt>
                <c:pt idx="27">
                  <c:v>4.6107968623513749</c:v>
                </c:pt>
                <c:pt idx="28">
                  <c:v>4.6898379094655258</c:v>
                </c:pt>
                <c:pt idx="29">
                  <c:v>4.7582519771955534</c:v>
                </c:pt>
                <c:pt idx="30">
                  <c:v>4.8181194501624942</c:v>
                </c:pt>
              </c:numCache>
            </c:numRef>
          </c:xVal>
          <c:yVal>
            <c:numRef>
              <c:f>огиб!$AI$40:$AI$70</c:f>
              <c:numCache>
                <c:formatCode>General</c:formatCode>
                <c:ptCount val="31"/>
                <c:pt idx="0">
                  <c:v>5</c:v>
                </c:pt>
                <c:pt idx="1">
                  <c:v>8</c:v>
                </c:pt>
                <c:pt idx="2">
                  <c:v>11</c:v>
                </c:pt>
                <c:pt idx="3">
                  <c:v>14</c:v>
                </c:pt>
                <c:pt idx="4">
                  <c:v>17</c:v>
                </c:pt>
                <c:pt idx="5">
                  <c:v>20</c:v>
                </c:pt>
                <c:pt idx="6">
                  <c:v>23</c:v>
                </c:pt>
                <c:pt idx="7">
                  <c:v>26</c:v>
                </c:pt>
                <c:pt idx="8">
                  <c:v>29</c:v>
                </c:pt>
                <c:pt idx="9">
                  <c:v>32</c:v>
                </c:pt>
                <c:pt idx="10">
                  <c:v>35</c:v>
                </c:pt>
                <c:pt idx="11">
                  <c:v>38</c:v>
                </c:pt>
                <c:pt idx="12">
                  <c:v>41</c:v>
                </c:pt>
                <c:pt idx="13">
                  <c:v>44</c:v>
                </c:pt>
                <c:pt idx="14">
                  <c:v>47</c:v>
                </c:pt>
                <c:pt idx="15">
                  <c:v>50</c:v>
                </c:pt>
                <c:pt idx="16">
                  <c:v>53</c:v>
                </c:pt>
                <c:pt idx="17">
                  <c:v>56</c:v>
                </c:pt>
                <c:pt idx="18">
                  <c:v>59</c:v>
                </c:pt>
                <c:pt idx="19">
                  <c:v>62</c:v>
                </c:pt>
                <c:pt idx="20">
                  <c:v>65</c:v>
                </c:pt>
                <c:pt idx="21">
                  <c:v>68</c:v>
                </c:pt>
                <c:pt idx="22">
                  <c:v>71</c:v>
                </c:pt>
                <c:pt idx="23">
                  <c:v>74</c:v>
                </c:pt>
                <c:pt idx="24">
                  <c:v>77</c:v>
                </c:pt>
                <c:pt idx="25">
                  <c:v>80</c:v>
                </c:pt>
                <c:pt idx="26">
                  <c:v>100</c:v>
                </c:pt>
                <c:pt idx="27">
                  <c:v>110</c:v>
                </c:pt>
                <c:pt idx="28">
                  <c:v>120</c:v>
                </c:pt>
                <c:pt idx="29">
                  <c:v>130</c:v>
                </c:pt>
                <c:pt idx="30">
                  <c:v>140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786456"/>
        <c:axId val="593788024"/>
      </c:scatterChart>
      <c:valAx>
        <c:axId val="593786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ru-RU" b="1"/>
                  <a:t>Давление входа, МПа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593788024"/>
        <c:crosses val="autoZero"/>
        <c:crossBetween val="midCat"/>
      </c:valAx>
      <c:valAx>
        <c:axId val="59378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ru-RU" b="1"/>
                  <a:t>Расход, млн.м³/сут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593786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123825</xdr:colOff>
      <xdr:row>20</xdr:row>
      <xdr:rowOff>142875</xdr:rowOff>
    </xdr:from>
    <xdr:to>
      <xdr:col>13</xdr:col>
      <xdr:colOff>447675</xdr:colOff>
      <xdr:row>34</xdr:row>
      <xdr:rowOff>104775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36</xdr:row>
      <xdr:rowOff>0</xdr:rowOff>
    </xdr:from>
    <xdr:to>
      <xdr:col>13</xdr:col>
      <xdr:colOff>323850</xdr:colOff>
      <xdr:row>49</xdr:row>
      <xdr:rowOff>152400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21</xdr:row>
      <xdr:rowOff>0</xdr:rowOff>
    </xdr:from>
    <xdr:to>
      <xdr:col>20</xdr:col>
      <xdr:colOff>95250</xdr:colOff>
      <xdr:row>35</xdr:row>
      <xdr:rowOff>13608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104775</xdr:colOff>
      <xdr:row>35</xdr:row>
      <xdr:rowOff>142875</xdr:rowOff>
    </xdr:from>
    <xdr:to>
      <xdr:col>20</xdr:col>
      <xdr:colOff>28575</xdr:colOff>
      <xdr:row>49</xdr:row>
      <xdr:rowOff>104775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152400</xdr:colOff>
      <xdr:row>49</xdr:row>
      <xdr:rowOff>114300</xdr:rowOff>
    </xdr:from>
    <xdr:to>
      <xdr:col>34</xdr:col>
      <xdr:colOff>161925</xdr:colOff>
      <xdr:row>70</xdr:row>
      <xdr:rowOff>171450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308673</xdr:colOff>
      <xdr:row>98</xdr:row>
      <xdr:rowOff>34636</xdr:rowOff>
    </xdr:from>
    <xdr:to>
      <xdr:col>34</xdr:col>
      <xdr:colOff>363682</xdr:colOff>
      <xdr:row>117</xdr:row>
      <xdr:rowOff>36922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13606</xdr:colOff>
      <xdr:row>97</xdr:row>
      <xdr:rowOff>163286</xdr:rowOff>
    </xdr:from>
    <xdr:to>
      <xdr:col>26</xdr:col>
      <xdr:colOff>121227</xdr:colOff>
      <xdr:row>116</xdr:row>
      <xdr:rowOff>121228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123825</xdr:colOff>
      <xdr:row>20</xdr:row>
      <xdr:rowOff>142875</xdr:rowOff>
    </xdr:from>
    <xdr:to>
      <xdr:col>13</xdr:col>
      <xdr:colOff>447675</xdr:colOff>
      <xdr:row>34</xdr:row>
      <xdr:rowOff>104775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36</xdr:row>
      <xdr:rowOff>0</xdr:rowOff>
    </xdr:from>
    <xdr:to>
      <xdr:col>13</xdr:col>
      <xdr:colOff>323850</xdr:colOff>
      <xdr:row>49</xdr:row>
      <xdr:rowOff>152400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21</xdr:row>
      <xdr:rowOff>0</xdr:rowOff>
    </xdr:from>
    <xdr:to>
      <xdr:col>19</xdr:col>
      <xdr:colOff>533400</xdr:colOff>
      <xdr:row>34</xdr:row>
      <xdr:rowOff>152400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104775</xdr:colOff>
      <xdr:row>35</xdr:row>
      <xdr:rowOff>142875</xdr:rowOff>
    </xdr:from>
    <xdr:to>
      <xdr:col>20</xdr:col>
      <xdr:colOff>28575</xdr:colOff>
      <xdr:row>49</xdr:row>
      <xdr:rowOff>104775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0</xdr:colOff>
      <xdr:row>204</xdr:row>
      <xdr:rowOff>0</xdr:rowOff>
    </xdr:from>
    <xdr:to>
      <xdr:col>49</xdr:col>
      <xdr:colOff>0</xdr:colOff>
      <xdr:row>233</xdr:row>
      <xdr:rowOff>8762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238125</xdr:colOff>
      <xdr:row>77</xdr:row>
      <xdr:rowOff>128587</xdr:rowOff>
    </xdr:from>
    <xdr:to>
      <xdr:col>39</xdr:col>
      <xdr:colOff>476250</xdr:colOff>
      <xdr:row>92</xdr:row>
      <xdr:rowOff>14287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93</xdr:row>
      <xdr:rowOff>0</xdr:rowOff>
    </xdr:from>
    <xdr:to>
      <xdr:col>39</xdr:col>
      <xdr:colOff>238125</xdr:colOff>
      <xdr:row>107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63</xdr:row>
      <xdr:rowOff>0</xdr:rowOff>
    </xdr:from>
    <xdr:to>
      <xdr:col>39</xdr:col>
      <xdr:colOff>238125</xdr:colOff>
      <xdr:row>77</xdr:row>
      <xdr:rowOff>76200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5040</xdr:colOff>
      <xdr:row>13</xdr:row>
      <xdr:rowOff>201143</xdr:rowOff>
    </xdr:from>
    <xdr:to>
      <xdr:col>29</xdr:col>
      <xdr:colOff>0</xdr:colOff>
      <xdr:row>35</xdr:row>
      <xdr:rowOff>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89650</xdr:colOff>
      <xdr:row>31</xdr:row>
      <xdr:rowOff>134470</xdr:rowOff>
    </xdr:from>
    <xdr:to>
      <xdr:col>21</xdr:col>
      <xdr:colOff>89649</xdr:colOff>
      <xdr:row>34</xdr:row>
      <xdr:rowOff>11206</xdr:rowOff>
    </xdr:to>
    <xdr:sp macro="" textlink="">
      <xdr:nvSpPr>
        <xdr:cNvPr id="4" name="TextBox 3"/>
        <xdr:cNvSpPr txBox="1"/>
      </xdr:nvSpPr>
      <xdr:spPr>
        <a:xfrm>
          <a:off x="13984944" y="6353735"/>
          <a:ext cx="1210234" cy="4818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/>
            <a:t>Конечное</a:t>
          </a:r>
          <a:r>
            <a:rPr lang="ru-RU" sz="1200" baseline="0"/>
            <a:t> давление, бар</a:t>
          </a:r>
          <a:endParaRPr lang="ru-RU" sz="12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0.76357</cdr:x>
      <cdr:y>0.1037</cdr:y>
    </cdr:from>
    <cdr:to>
      <cdr:x>1</cdr:x>
      <cdr:y>0.31723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366676" y="346206"/>
          <a:ext cx="2270275" cy="7128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ru-RU" sz="1100" b="1"/>
            <a:t>Различные</a:t>
          </a:r>
          <a:r>
            <a:rPr lang="ru-RU" sz="1100" b="1" baseline="0"/>
            <a:t> конечные давления, бар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3922</xdr:colOff>
      <xdr:row>29</xdr:row>
      <xdr:rowOff>182096</xdr:rowOff>
    </xdr:from>
    <xdr:to>
      <xdr:col>30</xdr:col>
      <xdr:colOff>0</xdr:colOff>
      <xdr:row>55</xdr:row>
      <xdr:rowOff>194502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612619</xdr:colOff>
      <xdr:row>5</xdr:row>
      <xdr:rowOff>216</xdr:rowOff>
    </xdr:from>
    <xdr:to>
      <xdr:col>43</xdr:col>
      <xdr:colOff>0</xdr:colOff>
      <xdr:row>29</xdr:row>
      <xdr:rowOff>4298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korobeynikovAV.GIPRO\AppData\Roaming\Microsoft\AddIns\&#1089;&#1074;&#1077;&#1088;&#1093;&#1089;&#1078;&#1080;&#1084;&#1072;&#1077;&#1084;&#1086;&#1089;&#1090;&#1100;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tables/&#1103;&#1084;&#1073;/&#1056;&#1072;&#1089;&#1095;&#1077;&#1090;%20&#1089;&#1073;&#1088;&#1086;&#1089;&#1072;%20&#1085;&#1072;%20&#1082;&#1091;&#1089;&#1090;&#1077;%20_9%200,1,2,3%20&#1074;&#1072;&#108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сверхсжимаемость"/>
    </sheetNames>
    <definedNames>
      <definedName name="zBarKelv"/>
    </defined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Устьевое"/>
      <sheetName val="Лист3"/>
      <sheetName val="Кустовое"/>
      <sheetName val="Расходы по кустам"/>
      <sheetName val="Реальное кустовое"/>
      <sheetName val="Сброс Eclipse"/>
      <sheetName val="Сброс ручной"/>
      <sheetName val="Общий сброс"/>
      <sheetName val="Результат"/>
      <sheetName val="дкс9расчет"/>
      <sheetName val="В главу"/>
      <sheetName val="Лист1"/>
      <sheetName val="Лист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2">
          <cell r="C32">
            <v>66.022692289999995</v>
          </cell>
          <cell r="D32">
            <v>3.0286606279999999</v>
          </cell>
        </row>
        <row r="35">
          <cell r="C35">
            <v>65.187973029999995</v>
          </cell>
          <cell r="D35">
            <v>2.929946202</v>
          </cell>
        </row>
        <row r="36">
          <cell r="C36">
            <v>64.561467730000004</v>
          </cell>
          <cell r="D36">
            <v>2.8915813990000001</v>
          </cell>
        </row>
        <row r="39">
          <cell r="C39">
            <v>61.903673650000002</v>
          </cell>
          <cell r="D39">
            <v>2.7269211530000002</v>
          </cell>
        </row>
        <row r="40">
          <cell r="C40">
            <v>59.739733559999998</v>
          </cell>
          <cell r="D40">
            <v>2.64311213</v>
          </cell>
        </row>
        <row r="43">
          <cell r="C43">
            <v>56.547313940000002</v>
          </cell>
          <cell r="D43">
            <v>2.4758264429999999</v>
          </cell>
        </row>
        <row r="44">
          <cell r="C44">
            <v>55.145408889999999</v>
          </cell>
          <cell r="D44">
            <v>2.3992645540000002</v>
          </cell>
        </row>
        <row r="47">
          <cell r="C47">
            <v>51.929436410000001</v>
          </cell>
          <cell r="D47">
            <v>2.2286626030000001</v>
          </cell>
        </row>
        <row r="48">
          <cell r="C48">
            <v>50.695774620000002</v>
          </cell>
          <cell r="D48">
            <v>2.1594394509999999</v>
          </cell>
        </row>
        <row r="51">
          <cell r="C51">
            <v>47.400323219999997</v>
          </cell>
          <cell r="D51">
            <v>2.0285393190000001</v>
          </cell>
        </row>
        <row r="52">
          <cell r="C52">
            <v>45.885338699999998</v>
          </cell>
          <cell r="D52">
            <v>1.979983845</v>
          </cell>
        </row>
        <row r="55">
          <cell r="C55">
            <v>42.8213279</v>
          </cell>
          <cell r="D55">
            <v>1.893917214</v>
          </cell>
        </row>
        <row r="56">
          <cell r="C56">
            <v>41.452716520000003</v>
          </cell>
          <cell r="D56">
            <v>1.8641902690000001</v>
          </cell>
        </row>
        <row r="59">
          <cell r="C59">
            <v>38.53090624</v>
          </cell>
          <cell r="D59">
            <v>1.82462064</v>
          </cell>
        </row>
        <row r="60">
          <cell r="C60">
            <v>36.435511929999997</v>
          </cell>
          <cell r="D60">
            <v>1.8330723520000001</v>
          </cell>
        </row>
        <row r="63">
          <cell r="C63">
            <v>33.505127289999997</v>
          </cell>
          <cell r="D63">
            <v>1.77511866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Q77"/>
  <sheetViews>
    <sheetView zoomScale="78" zoomScaleNormal="78" workbookViewId="0">
      <selection activeCell="M4" sqref="M4"/>
    </sheetView>
  </sheetViews>
  <sheetFormatPr defaultRowHeight="15" x14ac:dyDescent="0.25"/>
  <cols>
    <col min="1" max="1" width="9.140625" style="7"/>
    <col min="2" max="2" width="10" style="7" bestFit="1" customWidth="1"/>
    <col min="3" max="3" width="9.140625" style="7"/>
    <col min="4" max="4" width="10.7109375" style="7" bestFit="1" customWidth="1"/>
    <col min="5" max="12" width="9.140625" style="7"/>
    <col min="13" max="13" width="12.28515625" style="7" customWidth="1"/>
    <col min="14" max="15" width="11.5703125" style="7" customWidth="1"/>
    <col min="16" max="16" width="11.42578125" style="7" customWidth="1"/>
    <col min="17" max="16384" width="9.140625" style="7"/>
  </cols>
  <sheetData>
    <row r="1" spans="2:17" x14ac:dyDescent="0.25">
      <c r="H1" s="7">
        <v>4</v>
      </c>
      <c r="I1" s="7">
        <f>H2*H1</f>
        <v>64000</v>
      </c>
      <c r="K1" s="6" t="s">
        <v>9</v>
      </c>
      <c r="L1" s="6" t="s">
        <v>10</v>
      </c>
      <c r="M1" s="6" t="s">
        <v>11</v>
      </c>
      <c r="O1" s="6" t="s">
        <v>12</v>
      </c>
      <c r="P1" s="6" t="s">
        <v>13</v>
      </c>
    </row>
    <row r="2" spans="2:17" x14ac:dyDescent="0.25">
      <c r="D2" s="7" t="s">
        <v>22</v>
      </c>
      <c r="H2" s="7">
        <v>16000</v>
      </c>
      <c r="K2" s="7">
        <v>298.14999999999998</v>
      </c>
      <c r="L2" s="7">
        <v>518</v>
      </c>
      <c r="M2" s="7">
        <v>1.31</v>
      </c>
      <c r="O2" s="7">
        <v>0.7</v>
      </c>
      <c r="P2" s="7">
        <v>0.64867020297709943</v>
      </c>
    </row>
    <row r="3" spans="2:17" x14ac:dyDescent="0.25">
      <c r="B3" s="7" t="s">
        <v>0</v>
      </c>
      <c r="C3" s="7">
        <v>30</v>
      </c>
      <c r="D3" s="7">
        <v>40</v>
      </c>
      <c r="E3" s="7">
        <v>50</v>
      </c>
      <c r="F3" s="7">
        <v>60</v>
      </c>
      <c r="J3" s="6" t="s">
        <v>6</v>
      </c>
      <c r="K3" s="6" t="s">
        <v>5</v>
      </c>
      <c r="L3" s="6" t="s">
        <v>7</v>
      </c>
      <c r="M3" s="6" t="s">
        <v>8</v>
      </c>
      <c r="N3" s="7" t="s">
        <v>1</v>
      </c>
      <c r="O3" s="7" t="s">
        <v>2</v>
      </c>
      <c r="P3" s="7" t="s">
        <v>3</v>
      </c>
      <c r="Q3" s="7" t="s">
        <v>4</v>
      </c>
    </row>
    <row r="4" spans="2:17" x14ac:dyDescent="0.25">
      <c r="B4" s="7">
        <v>10</v>
      </c>
      <c r="C4" s="7">
        <v>11.6090909090909</v>
      </c>
      <c r="D4" s="7">
        <v>15.545454545454501</v>
      </c>
      <c r="E4" s="7">
        <v>19.781818181818199</v>
      </c>
      <c r="F4" s="7">
        <v>29.435294117646901</v>
      </c>
      <c r="J4" s="7">
        <f>B4*1000000/24/60/60</f>
        <v>115.74074074074073</v>
      </c>
      <c r="K4" s="7">
        <f>J4*$P$2</f>
        <v>75.077569789016138</v>
      </c>
      <c r="L4" s="7" t="e">
        <f ca="1">$I$1*1000*$O$2*($M$2-1)/K4/$C$37/$L$2/$K$2/$M$2</f>
        <v>#NAME?</v>
      </c>
      <c r="M4" s="7" t="e">
        <f ca="1">POWER((L4+1),$M$2/($M$2-1))</f>
        <v>#NAME?</v>
      </c>
      <c r="N4" s="7" t="e">
        <f ca="1">C$3/$M4</f>
        <v>#NAME?</v>
      </c>
      <c r="O4" s="7" t="e">
        <f t="shared" ref="O4:Q18" ca="1" si="0">D$3/$M4</f>
        <v>#NAME?</v>
      </c>
      <c r="P4" s="7" t="e">
        <f ca="1">E$3/$M4</f>
        <v>#NAME?</v>
      </c>
      <c r="Q4" s="7" t="e">
        <f t="shared" ca="1" si="0"/>
        <v>#NAME?</v>
      </c>
    </row>
    <row r="5" spans="2:17" x14ac:dyDescent="0.25">
      <c r="B5" s="8">
        <v>20</v>
      </c>
      <c r="C5" s="7">
        <v>11.6090909090909</v>
      </c>
      <c r="D5" s="7">
        <v>15.545454545454501</v>
      </c>
      <c r="E5" s="7">
        <v>19.781818181818199</v>
      </c>
      <c r="F5" s="7">
        <v>29.435294117646901</v>
      </c>
      <c r="J5" s="7">
        <f t="shared" ref="J5:J18" si="1">B5*1000000/24/60/60</f>
        <v>231.48148148148147</v>
      </c>
      <c r="K5" s="7">
        <f t="shared" ref="K5:K18" si="2">J5*$P$2</f>
        <v>150.15513957803228</v>
      </c>
      <c r="L5" s="7" t="e">
        <f t="shared" ref="L5:L18" ca="1" si="3">$I$1*1000*$O$2*($M$2-1)/K5/$C$37/$L$2/$K$2/$M$2</f>
        <v>#NAME?</v>
      </c>
      <c r="M5" s="7" t="e">
        <f t="shared" ref="M5:M18" ca="1" si="4">POWER((L5+1),$M$2/($M$2-1))</f>
        <v>#NAME?</v>
      </c>
      <c r="N5" s="7" t="e">
        <f t="shared" ref="N5:N18" ca="1" si="5">$C$3/M5</f>
        <v>#NAME?</v>
      </c>
      <c r="O5" s="7" t="e">
        <f t="shared" ca="1" si="0"/>
        <v>#NAME?</v>
      </c>
      <c r="P5" s="7" t="e">
        <f t="shared" ca="1" si="0"/>
        <v>#NAME?</v>
      </c>
      <c r="Q5" s="7" t="e">
        <f t="shared" ca="1" si="0"/>
        <v>#NAME?</v>
      </c>
    </row>
    <row r="6" spans="2:17" x14ac:dyDescent="0.25">
      <c r="B6" s="8">
        <v>30</v>
      </c>
      <c r="C6" s="7">
        <v>11.7090909090909</v>
      </c>
      <c r="D6" s="7">
        <v>15.5454545454546</v>
      </c>
      <c r="E6" s="7">
        <v>19.781818181818199</v>
      </c>
      <c r="F6" s="7">
        <v>29.435294117646901</v>
      </c>
      <c r="J6" s="7">
        <f t="shared" si="1"/>
        <v>347.22222222222223</v>
      </c>
      <c r="K6" s="7">
        <f t="shared" si="2"/>
        <v>225.23270936704841</v>
      </c>
      <c r="L6" s="7" t="e">
        <f t="shared" ca="1" si="3"/>
        <v>#NAME?</v>
      </c>
      <c r="M6" s="7" t="e">
        <f t="shared" ca="1" si="4"/>
        <v>#NAME?</v>
      </c>
      <c r="N6" s="7" t="e">
        <f t="shared" ca="1" si="5"/>
        <v>#NAME?</v>
      </c>
      <c r="O6" s="7" t="e">
        <f t="shared" ca="1" si="0"/>
        <v>#NAME?</v>
      </c>
      <c r="P6" s="7" t="e">
        <f t="shared" ca="1" si="0"/>
        <v>#NAME?</v>
      </c>
      <c r="Q6" s="7" t="e">
        <f t="shared" ca="1" si="0"/>
        <v>#NAME?</v>
      </c>
    </row>
    <row r="7" spans="2:17" x14ac:dyDescent="0.25">
      <c r="B7" s="8">
        <v>40</v>
      </c>
      <c r="C7" s="7">
        <v>12.2090909090909</v>
      </c>
      <c r="D7" s="7">
        <v>15.5454545454546</v>
      </c>
      <c r="E7" s="7">
        <v>19.781818181818199</v>
      </c>
      <c r="F7" s="7">
        <v>29.435294117646901</v>
      </c>
      <c r="J7" s="7">
        <f t="shared" si="1"/>
        <v>462.96296296296293</v>
      </c>
      <c r="K7" s="7">
        <f t="shared" si="2"/>
        <v>300.31027915606455</v>
      </c>
      <c r="L7" s="7" t="e">
        <f t="shared" ca="1" si="3"/>
        <v>#NAME?</v>
      </c>
      <c r="M7" s="7" t="e">
        <f t="shared" ca="1" si="4"/>
        <v>#NAME?</v>
      </c>
      <c r="N7" s="7" t="e">
        <f t="shared" ca="1" si="5"/>
        <v>#NAME?</v>
      </c>
      <c r="O7" s="7" t="e">
        <f t="shared" ca="1" si="0"/>
        <v>#NAME?</v>
      </c>
      <c r="P7" s="7" t="e">
        <f t="shared" ca="1" si="0"/>
        <v>#NAME?</v>
      </c>
      <c r="Q7" s="7" t="e">
        <f t="shared" ca="1" si="0"/>
        <v>#NAME?</v>
      </c>
    </row>
    <row r="8" spans="2:17" x14ac:dyDescent="0.25">
      <c r="B8" s="8">
        <v>50</v>
      </c>
      <c r="C8" s="7">
        <v>13.609090909090899</v>
      </c>
      <c r="D8" s="7">
        <v>17.345454545454601</v>
      </c>
      <c r="E8" s="7">
        <v>22.681818181818102</v>
      </c>
      <c r="F8" s="7">
        <v>29.435294117646901</v>
      </c>
      <c r="J8" s="7">
        <f t="shared" si="1"/>
        <v>578.7037037037037</v>
      </c>
      <c r="K8" s="7">
        <f t="shared" si="2"/>
        <v>375.38784894508069</v>
      </c>
      <c r="L8" s="7" t="e">
        <f t="shared" ca="1" si="3"/>
        <v>#NAME?</v>
      </c>
      <c r="M8" s="7" t="e">
        <f t="shared" ca="1" si="4"/>
        <v>#NAME?</v>
      </c>
      <c r="N8" s="7" t="e">
        <f t="shared" ca="1" si="5"/>
        <v>#NAME?</v>
      </c>
      <c r="O8" s="7" t="e">
        <f t="shared" ca="1" si="0"/>
        <v>#NAME?</v>
      </c>
      <c r="P8" s="7" t="e">
        <f t="shared" ca="1" si="0"/>
        <v>#NAME?</v>
      </c>
      <c r="Q8" s="7" t="e">
        <f t="shared" ca="1" si="0"/>
        <v>#NAME?</v>
      </c>
    </row>
    <row r="9" spans="2:17" x14ac:dyDescent="0.25">
      <c r="B9" s="8">
        <v>60</v>
      </c>
      <c r="C9" s="7">
        <v>15.909090909090899</v>
      </c>
      <c r="D9" s="7">
        <v>19.823529411764699</v>
      </c>
      <c r="E9" s="7">
        <v>24.4818181818179</v>
      </c>
      <c r="F9" s="7">
        <v>29.435294117646901</v>
      </c>
      <c r="J9" s="7">
        <f t="shared" si="1"/>
        <v>694.44444444444446</v>
      </c>
      <c r="K9" s="7">
        <f t="shared" si="2"/>
        <v>450.46541873409683</v>
      </c>
      <c r="L9" s="7" t="e">
        <f t="shared" ca="1" si="3"/>
        <v>#NAME?</v>
      </c>
      <c r="M9" s="7" t="e">
        <f t="shared" ca="1" si="4"/>
        <v>#NAME?</v>
      </c>
      <c r="N9" s="7" t="e">
        <f t="shared" ca="1" si="5"/>
        <v>#NAME?</v>
      </c>
      <c r="O9" s="7" t="e">
        <f t="shared" ca="1" si="0"/>
        <v>#NAME?</v>
      </c>
      <c r="P9" s="7" t="e">
        <f t="shared" ca="1" si="0"/>
        <v>#NAME?</v>
      </c>
      <c r="Q9" s="7" t="e">
        <f t="shared" ca="1" si="0"/>
        <v>#NAME?</v>
      </c>
    </row>
    <row r="10" spans="2:17" x14ac:dyDescent="0.25">
      <c r="B10" s="8">
        <v>70</v>
      </c>
      <c r="C10" s="7">
        <v>17.517647058823499</v>
      </c>
      <c r="D10" s="7">
        <v>21.6235294117647</v>
      </c>
      <c r="E10" s="7">
        <v>26.881818181817799</v>
      </c>
      <c r="F10" s="7">
        <v>31.835294117646804</v>
      </c>
      <c r="J10" s="7">
        <f t="shared" si="1"/>
        <v>810.18518518518511</v>
      </c>
      <c r="K10" s="7">
        <f t="shared" si="2"/>
        <v>525.54298852311297</v>
      </c>
      <c r="L10" s="7" t="e">
        <f t="shared" ca="1" si="3"/>
        <v>#NAME?</v>
      </c>
      <c r="M10" s="7" t="e">
        <f t="shared" ca="1" si="4"/>
        <v>#NAME?</v>
      </c>
      <c r="N10" s="7" t="e">
        <f t="shared" ca="1" si="5"/>
        <v>#NAME?</v>
      </c>
      <c r="O10" s="7" t="e">
        <f t="shared" ca="1" si="0"/>
        <v>#NAME?</v>
      </c>
      <c r="P10" s="7" t="e">
        <f t="shared" ca="1" si="0"/>
        <v>#NAME?</v>
      </c>
      <c r="Q10" s="7" t="e">
        <f t="shared" ca="1" si="0"/>
        <v>#NAME?</v>
      </c>
    </row>
    <row r="11" spans="2:17" x14ac:dyDescent="0.25">
      <c r="B11" s="8">
        <v>80</v>
      </c>
      <c r="C11" s="7">
        <v>18.817647058823599</v>
      </c>
      <c r="D11" s="7">
        <v>23.3235294117646</v>
      </c>
      <c r="E11" s="7">
        <v>29.281818181817698</v>
      </c>
      <c r="F11" s="7">
        <v>35.935294117646599</v>
      </c>
      <c r="J11" s="7">
        <f t="shared" si="1"/>
        <v>925.92592592592587</v>
      </c>
      <c r="K11" s="7">
        <f t="shared" si="2"/>
        <v>600.62055831212911</v>
      </c>
      <c r="L11" s="7" t="e">
        <f t="shared" ca="1" si="3"/>
        <v>#NAME?</v>
      </c>
      <c r="M11" s="7" t="e">
        <f t="shared" ca="1" si="4"/>
        <v>#NAME?</v>
      </c>
      <c r="N11" s="7" t="e">
        <f t="shared" ca="1" si="5"/>
        <v>#NAME?</v>
      </c>
      <c r="O11" s="7" t="e">
        <f t="shared" ca="1" si="0"/>
        <v>#NAME?</v>
      </c>
      <c r="P11" s="7" t="e">
        <f t="shared" ca="1" si="0"/>
        <v>#NAME?</v>
      </c>
      <c r="Q11" s="7" t="e">
        <f t="shared" ca="1" si="0"/>
        <v>#NAME?</v>
      </c>
    </row>
    <row r="12" spans="2:17" x14ac:dyDescent="0.25">
      <c r="B12" s="8">
        <v>90</v>
      </c>
      <c r="C12" s="7">
        <v>20.151724137930998</v>
      </c>
      <c r="D12" s="7">
        <v>25.0235294117645</v>
      </c>
      <c r="E12" s="7">
        <v>32.181818181817604</v>
      </c>
      <c r="F12" s="7">
        <v>38.533333333332898</v>
      </c>
      <c r="J12" s="7">
        <f t="shared" si="1"/>
        <v>1041.6666666666667</v>
      </c>
      <c r="K12" s="7">
        <f t="shared" si="2"/>
        <v>675.69812810114524</v>
      </c>
      <c r="L12" s="7" t="e">
        <f t="shared" ca="1" si="3"/>
        <v>#NAME?</v>
      </c>
      <c r="M12" s="7" t="e">
        <f t="shared" ca="1" si="4"/>
        <v>#NAME?</v>
      </c>
      <c r="N12" s="7" t="e">
        <f t="shared" ca="1" si="5"/>
        <v>#NAME?</v>
      </c>
      <c r="O12" s="7" t="e">
        <f ca="1">D$3/$M12</f>
        <v>#NAME?</v>
      </c>
      <c r="P12" s="7" t="e">
        <f t="shared" ca="1" si="0"/>
        <v>#NAME?</v>
      </c>
      <c r="Q12" s="7" t="e">
        <f t="shared" ca="1" si="0"/>
        <v>#NAME?</v>
      </c>
    </row>
    <row r="13" spans="2:17" x14ac:dyDescent="0.25">
      <c r="B13" s="8">
        <v>100</v>
      </c>
      <c r="C13" s="7">
        <v>20.951724137931002</v>
      </c>
      <c r="D13" s="7">
        <v>25.468965517240999</v>
      </c>
      <c r="E13" s="7">
        <v>32.477777777777298</v>
      </c>
      <c r="F13" s="7">
        <v>39.633333333332899</v>
      </c>
      <c r="J13" s="7">
        <f t="shared" si="1"/>
        <v>1157.4074074074074</v>
      </c>
      <c r="K13" s="7">
        <f t="shared" si="2"/>
        <v>750.77569789016138</v>
      </c>
      <c r="L13" s="7" t="e">
        <f t="shared" ca="1" si="3"/>
        <v>#NAME?</v>
      </c>
      <c r="M13" s="7" t="e">
        <f t="shared" ca="1" si="4"/>
        <v>#NAME?</v>
      </c>
      <c r="N13" s="7" t="e">
        <f t="shared" ca="1" si="5"/>
        <v>#NAME?</v>
      </c>
      <c r="O13" s="7" t="e">
        <f t="shared" ca="1" si="0"/>
        <v>#NAME?</v>
      </c>
      <c r="P13" s="7" t="e">
        <f t="shared" ca="1" si="0"/>
        <v>#NAME?</v>
      </c>
      <c r="Q13" s="7" t="e">
        <f t="shared" ca="1" si="0"/>
        <v>#NAME?</v>
      </c>
    </row>
    <row r="14" spans="2:17" x14ac:dyDescent="0.25">
      <c r="B14" s="8">
        <v>110</v>
      </c>
      <c r="C14" s="7">
        <v>22.051724137931</v>
      </c>
      <c r="D14" s="7">
        <v>26.4689655172409</v>
      </c>
      <c r="E14" s="7">
        <v>32.877777777777297</v>
      </c>
      <c r="F14" s="7">
        <v>40.433333333332797</v>
      </c>
      <c r="J14" s="7">
        <f t="shared" si="1"/>
        <v>1273.1481481481483</v>
      </c>
      <c r="K14" s="7">
        <f t="shared" si="2"/>
        <v>825.85326767917763</v>
      </c>
      <c r="L14" s="7" t="e">
        <f t="shared" ca="1" si="3"/>
        <v>#NAME?</v>
      </c>
      <c r="M14" s="7" t="e">
        <f t="shared" ca="1" si="4"/>
        <v>#NAME?</v>
      </c>
      <c r="N14" s="7" t="e">
        <f t="shared" ca="1" si="5"/>
        <v>#NAME?</v>
      </c>
      <c r="O14" s="7" t="e">
        <f t="shared" ca="1" si="0"/>
        <v>#NAME?</v>
      </c>
      <c r="P14" s="7" t="e">
        <f ca="1">E$3/$M14</f>
        <v>#NAME?</v>
      </c>
      <c r="Q14" s="7" t="e">
        <f t="shared" ca="1" si="0"/>
        <v>#NAME?</v>
      </c>
    </row>
    <row r="15" spans="2:17" x14ac:dyDescent="0.25">
      <c r="B15" s="8">
        <v>120</v>
      </c>
      <c r="C15" s="7">
        <v>23.951724137930903</v>
      </c>
      <c r="D15" s="7">
        <v>27.368965517240799</v>
      </c>
      <c r="E15" s="7">
        <v>33.777777777777203</v>
      </c>
      <c r="F15" s="7">
        <v>41.1333333333327</v>
      </c>
      <c r="J15" s="7">
        <f t="shared" si="1"/>
        <v>1388.8888888888889</v>
      </c>
      <c r="K15" s="7">
        <f t="shared" si="2"/>
        <v>900.93083746819366</v>
      </c>
      <c r="L15" s="7" t="e">
        <f t="shared" ca="1" si="3"/>
        <v>#NAME?</v>
      </c>
      <c r="M15" s="7" t="e">
        <f t="shared" ca="1" si="4"/>
        <v>#NAME?</v>
      </c>
      <c r="N15" s="7" t="e">
        <f t="shared" ca="1" si="5"/>
        <v>#NAME?</v>
      </c>
      <c r="O15" s="7" t="e">
        <f t="shared" ca="1" si="0"/>
        <v>#NAME?</v>
      </c>
      <c r="P15" s="7" t="e">
        <f t="shared" ca="1" si="0"/>
        <v>#NAME?</v>
      </c>
      <c r="Q15" s="7" t="e">
        <f t="shared" ca="1" si="0"/>
        <v>#NAME?</v>
      </c>
    </row>
    <row r="16" spans="2:17" x14ac:dyDescent="0.25">
      <c r="B16" s="8">
        <v>130</v>
      </c>
      <c r="C16" s="7">
        <v>26.4517241379308</v>
      </c>
      <c r="D16" s="7">
        <v>28.468965517240797</v>
      </c>
      <c r="E16" s="7">
        <v>35.077777777777101</v>
      </c>
      <c r="F16" s="7">
        <v>41.733333333332695</v>
      </c>
      <c r="J16" s="7">
        <f t="shared" si="1"/>
        <v>1504.6296296296298</v>
      </c>
      <c r="K16" s="7">
        <f t="shared" si="2"/>
        <v>976.00840725720991</v>
      </c>
      <c r="L16" s="7" t="e">
        <f t="shared" ca="1" si="3"/>
        <v>#NAME?</v>
      </c>
      <c r="M16" s="7" t="e">
        <f t="shared" ca="1" si="4"/>
        <v>#NAME?</v>
      </c>
      <c r="N16" s="7" t="e">
        <f t="shared" ca="1" si="5"/>
        <v>#NAME?</v>
      </c>
      <c r="O16" s="7" t="e">
        <f t="shared" ca="1" si="0"/>
        <v>#NAME?</v>
      </c>
      <c r="P16" s="7" t="e">
        <f t="shared" ca="1" si="0"/>
        <v>#NAME?</v>
      </c>
      <c r="Q16" s="7" t="e">
        <f t="shared" ca="1" si="0"/>
        <v>#NAME?</v>
      </c>
    </row>
    <row r="17" spans="2:17" x14ac:dyDescent="0.25">
      <c r="B17" s="8">
        <v>140</v>
      </c>
      <c r="C17" s="7">
        <v>29.4517241379307</v>
      </c>
      <c r="D17" s="7">
        <v>29.6689655172407</v>
      </c>
      <c r="E17" s="7">
        <v>36.477777777777099</v>
      </c>
      <c r="F17" s="7">
        <v>42.733333333332595</v>
      </c>
      <c r="J17" s="7">
        <f t="shared" si="1"/>
        <v>1620.3703703703702</v>
      </c>
      <c r="K17" s="7">
        <f t="shared" si="2"/>
        <v>1051.0859770462259</v>
      </c>
      <c r="L17" s="7" t="e">
        <f t="shared" ca="1" si="3"/>
        <v>#NAME?</v>
      </c>
      <c r="M17" s="7" t="e">
        <f t="shared" ca="1" si="4"/>
        <v>#NAME?</v>
      </c>
      <c r="N17" s="7" t="e">
        <f t="shared" ca="1" si="5"/>
        <v>#NAME?</v>
      </c>
      <c r="O17" s="7" t="e">
        <f t="shared" ca="1" si="0"/>
        <v>#NAME?</v>
      </c>
      <c r="P17" s="7" t="e">
        <f t="shared" ca="1" si="0"/>
        <v>#NAME?</v>
      </c>
      <c r="Q17" s="7" t="e">
        <f t="shared" ca="1" si="0"/>
        <v>#NAME?</v>
      </c>
    </row>
    <row r="18" spans="2:17" x14ac:dyDescent="0.25">
      <c r="B18" s="8">
        <v>150</v>
      </c>
      <c r="C18" s="7">
        <v>32.351724137930603</v>
      </c>
      <c r="D18" s="7">
        <v>32.368965517240596</v>
      </c>
      <c r="E18" s="7">
        <v>40.077777777776902</v>
      </c>
      <c r="F18" s="7">
        <v>43.733333333332496</v>
      </c>
      <c r="J18" s="7">
        <f t="shared" si="1"/>
        <v>1736.1111111111111</v>
      </c>
      <c r="K18" s="7">
        <f t="shared" si="2"/>
        <v>1126.163546835242</v>
      </c>
      <c r="L18" s="7" t="e">
        <f t="shared" ca="1" si="3"/>
        <v>#NAME?</v>
      </c>
      <c r="M18" s="7" t="e">
        <f t="shared" ca="1" si="4"/>
        <v>#NAME?</v>
      </c>
      <c r="N18" s="7" t="e">
        <f t="shared" ca="1" si="5"/>
        <v>#NAME?</v>
      </c>
      <c r="O18" s="7" t="e">
        <f t="shared" ca="1" si="0"/>
        <v>#NAME?</v>
      </c>
      <c r="P18" s="7" t="e">
        <f t="shared" ca="1" si="0"/>
        <v>#NAME?</v>
      </c>
      <c r="Q18" s="7" t="e">
        <f t="shared" ca="1" si="0"/>
        <v>#NAME?</v>
      </c>
    </row>
    <row r="19" spans="2:17" x14ac:dyDescent="0.25">
      <c r="C19" s="8"/>
    </row>
    <row r="20" spans="2:17" x14ac:dyDescent="0.25">
      <c r="C20" s="8"/>
    </row>
    <row r="22" spans="2:17" x14ac:dyDescent="0.25">
      <c r="B22" s="17">
        <v>10</v>
      </c>
      <c r="C22" s="7" t="e">
        <f ca="1">[1]!zBarKelv(C4,$K$2)</f>
        <v>#NAME?</v>
      </c>
      <c r="D22" s="7" t="e">
        <f t="shared" ref="D22:F22" ca="1" si="6">[1]!zBarKelv(D4,$K$2)</f>
        <v>#NAME?</v>
      </c>
      <c r="E22" s="7" t="e">
        <f t="shared" ca="1" si="6"/>
        <v>#NAME?</v>
      </c>
      <c r="F22" s="7" t="e">
        <f t="shared" ca="1" si="6"/>
        <v>#NAME?</v>
      </c>
    </row>
    <row r="23" spans="2:17" x14ac:dyDescent="0.25">
      <c r="B23" s="16">
        <v>20</v>
      </c>
      <c r="C23" s="7" t="e">
        <f t="shared" ref="C23:F36" ca="1" si="7">[1]!zBarKelv(C5,$K$2)</f>
        <v>#NAME?</v>
      </c>
      <c r="D23" s="7" t="e">
        <f t="shared" ca="1" si="7"/>
        <v>#NAME?</v>
      </c>
      <c r="E23" s="7" t="e">
        <f t="shared" ca="1" si="7"/>
        <v>#NAME?</v>
      </c>
      <c r="F23" s="7" t="e">
        <f t="shared" ca="1" si="7"/>
        <v>#NAME?</v>
      </c>
    </row>
    <row r="24" spans="2:17" x14ac:dyDescent="0.25">
      <c r="B24" s="16">
        <v>30</v>
      </c>
      <c r="C24" s="7" t="e">
        <f t="shared" ca="1" si="7"/>
        <v>#NAME?</v>
      </c>
      <c r="D24" s="7" t="e">
        <f t="shared" ca="1" si="7"/>
        <v>#NAME?</v>
      </c>
      <c r="E24" s="7" t="e">
        <f t="shared" ca="1" si="7"/>
        <v>#NAME?</v>
      </c>
      <c r="F24" s="7" t="e">
        <f t="shared" ca="1" si="7"/>
        <v>#NAME?</v>
      </c>
    </row>
    <row r="25" spans="2:17" x14ac:dyDescent="0.25">
      <c r="B25" s="16">
        <v>40</v>
      </c>
      <c r="C25" s="7" t="e">
        <f t="shared" ca="1" si="7"/>
        <v>#NAME?</v>
      </c>
      <c r="D25" s="7" t="e">
        <f t="shared" ca="1" si="7"/>
        <v>#NAME?</v>
      </c>
      <c r="E25" s="7" t="e">
        <f t="shared" ca="1" si="7"/>
        <v>#NAME?</v>
      </c>
      <c r="F25" s="7" t="e">
        <f t="shared" ca="1" si="7"/>
        <v>#NAME?</v>
      </c>
    </row>
    <row r="26" spans="2:17" x14ac:dyDescent="0.25">
      <c r="B26" s="16">
        <v>50</v>
      </c>
      <c r="C26" s="7" t="e">
        <f t="shared" ca="1" si="7"/>
        <v>#NAME?</v>
      </c>
      <c r="D26" s="7" t="e">
        <f t="shared" ca="1" si="7"/>
        <v>#NAME?</v>
      </c>
      <c r="E26" s="7" t="e">
        <f t="shared" ca="1" si="7"/>
        <v>#NAME?</v>
      </c>
      <c r="F26" s="7" t="e">
        <f t="shared" ca="1" si="7"/>
        <v>#NAME?</v>
      </c>
    </row>
    <row r="27" spans="2:17" x14ac:dyDescent="0.25">
      <c r="B27" s="16">
        <v>60</v>
      </c>
      <c r="C27" s="7" t="e">
        <f t="shared" ca="1" si="7"/>
        <v>#NAME?</v>
      </c>
      <c r="D27" s="7" t="e">
        <f t="shared" ca="1" si="7"/>
        <v>#NAME?</v>
      </c>
      <c r="E27" s="7" t="e">
        <f t="shared" ca="1" si="7"/>
        <v>#NAME?</v>
      </c>
      <c r="F27" s="7" t="e">
        <f t="shared" ca="1" si="7"/>
        <v>#NAME?</v>
      </c>
    </row>
    <row r="28" spans="2:17" x14ac:dyDescent="0.25">
      <c r="B28" s="16">
        <v>70</v>
      </c>
      <c r="C28" s="7" t="e">
        <f t="shared" ca="1" si="7"/>
        <v>#NAME?</v>
      </c>
      <c r="D28" s="7" t="e">
        <f t="shared" ca="1" si="7"/>
        <v>#NAME?</v>
      </c>
      <c r="E28" s="7" t="e">
        <f t="shared" ca="1" si="7"/>
        <v>#NAME?</v>
      </c>
      <c r="F28" s="7" t="e">
        <f t="shared" ca="1" si="7"/>
        <v>#NAME?</v>
      </c>
    </row>
    <row r="29" spans="2:17" x14ac:dyDescent="0.25">
      <c r="B29" s="16">
        <v>80</v>
      </c>
      <c r="C29" s="7" t="e">
        <f t="shared" ca="1" si="7"/>
        <v>#NAME?</v>
      </c>
      <c r="D29" s="7" t="e">
        <f t="shared" ca="1" si="7"/>
        <v>#NAME?</v>
      </c>
      <c r="E29" s="7" t="e">
        <f t="shared" ca="1" si="7"/>
        <v>#NAME?</v>
      </c>
      <c r="F29" s="7" t="e">
        <f t="shared" ca="1" si="7"/>
        <v>#NAME?</v>
      </c>
    </row>
    <row r="30" spans="2:17" x14ac:dyDescent="0.25">
      <c r="B30" s="16">
        <v>90</v>
      </c>
      <c r="C30" s="7" t="e">
        <f t="shared" ca="1" si="7"/>
        <v>#NAME?</v>
      </c>
      <c r="D30" s="7" t="e">
        <f t="shared" ca="1" si="7"/>
        <v>#NAME?</v>
      </c>
      <c r="E30" s="7" t="e">
        <f t="shared" ca="1" si="7"/>
        <v>#NAME?</v>
      </c>
      <c r="F30" s="7" t="e">
        <f t="shared" ca="1" si="7"/>
        <v>#NAME?</v>
      </c>
    </row>
    <row r="31" spans="2:17" x14ac:dyDescent="0.25">
      <c r="B31" s="16">
        <v>100</v>
      </c>
      <c r="C31" s="7" t="e">
        <f t="shared" ca="1" si="7"/>
        <v>#NAME?</v>
      </c>
      <c r="D31" s="7" t="e">
        <f t="shared" ca="1" si="7"/>
        <v>#NAME?</v>
      </c>
      <c r="E31" s="7" t="e">
        <f t="shared" ca="1" si="7"/>
        <v>#NAME?</v>
      </c>
      <c r="F31" s="7" t="e">
        <f t="shared" ca="1" si="7"/>
        <v>#NAME?</v>
      </c>
    </row>
    <row r="32" spans="2:17" x14ac:dyDescent="0.25">
      <c r="B32" s="16">
        <v>110</v>
      </c>
      <c r="C32" s="7" t="e">
        <f t="shared" ca="1" si="7"/>
        <v>#NAME?</v>
      </c>
      <c r="D32" s="7" t="e">
        <f t="shared" ca="1" si="7"/>
        <v>#NAME?</v>
      </c>
      <c r="E32" s="7" t="e">
        <f t="shared" ca="1" si="7"/>
        <v>#NAME?</v>
      </c>
      <c r="F32" s="7" t="e">
        <f t="shared" ca="1" si="7"/>
        <v>#NAME?</v>
      </c>
    </row>
    <row r="33" spans="2:6" x14ac:dyDescent="0.25">
      <c r="B33" s="16">
        <v>120</v>
      </c>
      <c r="C33" s="7" t="e">
        <f t="shared" ca="1" si="7"/>
        <v>#NAME?</v>
      </c>
      <c r="D33" s="7" t="e">
        <f t="shared" ca="1" si="7"/>
        <v>#NAME?</v>
      </c>
      <c r="E33" s="7" t="e">
        <f t="shared" ca="1" si="7"/>
        <v>#NAME?</v>
      </c>
      <c r="F33" s="7" t="e">
        <f t="shared" ca="1" si="7"/>
        <v>#NAME?</v>
      </c>
    </row>
    <row r="34" spans="2:6" x14ac:dyDescent="0.25">
      <c r="B34" s="16">
        <v>130</v>
      </c>
      <c r="C34" s="7" t="e">
        <f t="shared" ca="1" si="7"/>
        <v>#NAME?</v>
      </c>
      <c r="D34" s="7" t="e">
        <f t="shared" ca="1" si="7"/>
        <v>#NAME?</v>
      </c>
      <c r="E34" s="7" t="e">
        <f t="shared" ca="1" si="7"/>
        <v>#NAME?</v>
      </c>
      <c r="F34" s="7" t="e">
        <f t="shared" ca="1" si="7"/>
        <v>#NAME?</v>
      </c>
    </row>
    <row r="35" spans="2:6" x14ac:dyDescent="0.25">
      <c r="B35" s="16">
        <v>140</v>
      </c>
      <c r="C35" s="7" t="e">
        <f t="shared" ca="1" si="7"/>
        <v>#NAME?</v>
      </c>
      <c r="D35" s="7" t="e">
        <f t="shared" ca="1" si="7"/>
        <v>#NAME?</v>
      </c>
      <c r="E35" s="7" t="e">
        <f t="shared" ca="1" si="7"/>
        <v>#NAME?</v>
      </c>
      <c r="F35" s="7" t="e">
        <f t="shared" ca="1" si="7"/>
        <v>#NAME?</v>
      </c>
    </row>
    <row r="36" spans="2:6" x14ac:dyDescent="0.25">
      <c r="B36" s="16">
        <v>150</v>
      </c>
      <c r="C36" s="7" t="e">
        <f t="shared" ca="1" si="7"/>
        <v>#NAME?</v>
      </c>
      <c r="D36" s="7" t="e">
        <f t="shared" ca="1" si="7"/>
        <v>#NAME?</v>
      </c>
      <c r="E36" s="7" t="e">
        <f t="shared" ca="1" si="7"/>
        <v>#NAME?</v>
      </c>
      <c r="F36" s="7" t="e">
        <f t="shared" ca="1" si="7"/>
        <v>#NAME?</v>
      </c>
    </row>
    <row r="37" spans="2:6" ht="21" x14ac:dyDescent="0.35">
      <c r="C37" s="9" t="e">
        <f ca="1">AVERAGE(C22:F36)</f>
        <v>#NAME?</v>
      </c>
      <c r="D37" s="9" t="e">
        <f ca="1">SQRT(VAR(C22:F36))</f>
        <v>#NAME?</v>
      </c>
    </row>
    <row r="59" spans="8:17" x14ac:dyDescent="0.25">
      <c r="H59" s="13"/>
      <c r="I59" s="13"/>
      <c r="J59" s="13" t="s">
        <v>14</v>
      </c>
      <c r="K59" s="13" t="s">
        <v>15</v>
      </c>
      <c r="L59" s="13" t="s">
        <v>16</v>
      </c>
      <c r="M59" s="13" t="s">
        <v>18</v>
      </c>
      <c r="N59" s="13" t="s">
        <v>17</v>
      </c>
      <c r="O59" s="13" t="s">
        <v>19</v>
      </c>
      <c r="P59" s="13" t="s">
        <v>20</v>
      </c>
      <c r="Q59" s="11"/>
    </row>
    <row r="60" spans="8:17" x14ac:dyDescent="0.25">
      <c r="H60" s="11"/>
      <c r="I60" s="11"/>
      <c r="J60" s="11"/>
      <c r="K60" s="11"/>
      <c r="L60" s="11"/>
      <c r="M60" s="11"/>
      <c r="N60" s="11"/>
      <c r="O60" s="11"/>
      <c r="P60" s="11"/>
      <c r="Q60" s="12"/>
    </row>
    <row r="61" spans="8:17" x14ac:dyDescent="0.25">
      <c r="H61" s="13">
        <v>10</v>
      </c>
      <c r="I61" s="13">
        <v>15.545454545454501</v>
      </c>
      <c r="J61" s="13">
        <v>26.200000000000003</v>
      </c>
      <c r="K61" s="13"/>
      <c r="L61" s="13">
        <v>18.899999999999999</v>
      </c>
      <c r="M61" s="13">
        <v>15.5</v>
      </c>
      <c r="N61" s="13">
        <v>16.899999999999999</v>
      </c>
      <c r="O61" s="13">
        <v>19.899999999999999</v>
      </c>
      <c r="P61" s="13">
        <v>19.600000000000001</v>
      </c>
      <c r="Q61" s="11"/>
    </row>
    <row r="62" spans="8:17" x14ac:dyDescent="0.25">
      <c r="H62" s="13">
        <v>20</v>
      </c>
      <c r="I62" s="13">
        <v>15.545454545454501</v>
      </c>
      <c r="J62" s="13">
        <v>25.9</v>
      </c>
      <c r="K62" s="13">
        <v>24.6</v>
      </c>
      <c r="L62" s="13">
        <v>18.899999999999999</v>
      </c>
      <c r="M62" s="13">
        <v>15.5</v>
      </c>
      <c r="N62" s="13">
        <v>16.899999999999999</v>
      </c>
      <c r="O62" s="13">
        <v>19.899999999999999</v>
      </c>
      <c r="P62" s="13">
        <v>18.3</v>
      </c>
      <c r="Q62" s="11"/>
    </row>
    <row r="63" spans="8:17" x14ac:dyDescent="0.25">
      <c r="H63" s="13">
        <v>30</v>
      </c>
      <c r="I63" s="13">
        <v>15.5454545454546</v>
      </c>
      <c r="J63" s="13">
        <v>26.200000000000003</v>
      </c>
      <c r="K63" s="13">
        <v>24</v>
      </c>
      <c r="L63" s="13">
        <v>18.899999999999999</v>
      </c>
      <c r="M63" s="13">
        <v>15.5</v>
      </c>
      <c r="N63" s="13">
        <v>15.700000000000001</v>
      </c>
      <c r="O63" s="13">
        <v>19</v>
      </c>
      <c r="P63" s="13">
        <v>18.700000000000003</v>
      </c>
      <c r="Q63" s="11"/>
    </row>
    <row r="64" spans="8:17" x14ac:dyDescent="0.25">
      <c r="H64" s="14">
        <v>40</v>
      </c>
      <c r="I64" s="13">
        <v>15.5454545454546</v>
      </c>
      <c r="J64" s="13">
        <v>26</v>
      </c>
      <c r="K64" s="13">
        <v>24.6</v>
      </c>
      <c r="L64" s="13">
        <v>18.899999999999999</v>
      </c>
      <c r="M64" s="13">
        <v>15.5</v>
      </c>
      <c r="N64" s="13">
        <v>16.899999999999999</v>
      </c>
      <c r="O64" s="13">
        <v>19.899999999999999</v>
      </c>
      <c r="P64" s="13">
        <v>19.600000000000001</v>
      </c>
      <c r="Q64" s="11"/>
    </row>
    <row r="65" spans="7:17" x14ac:dyDescent="0.25">
      <c r="H65" s="13">
        <v>50</v>
      </c>
      <c r="I65" s="13">
        <v>17.345454545454601</v>
      </c>
      <c r="J65" s="13">
        <v>25.9</v>
      </c>
      <c r="K65" s="13">
        <v>24.2</v>
      </c>
      <c r="L65" s="13">
        <v>19.099999999999998</v>
      </c>
      <c r="M65" s="13">
        <v>17.3</v>
      </c>
      <c r="N65" s="13">
        <v>19.3</v>
      </c>
      <c r="O65" s="13">
        <v>21.5</v>
      </c>
      <c r="P65" s="13">
        <v>21.200000000000003</v>
      </c>
      <c r="Q65" s="11"/>
    </row>
    <row r="66" spans="7:17" x14ac:dyDescent="0.25">
      <c r="H66" s="13">
        <v>60</v>
      </c>
      <c r="I66" s="13">
        <v>19.823529411764699</v>
      </c>
      <c r="J66" s="13">
        <v>26</v>
      </c>
      <c r="K66" s="13">
        <v>24</v>
      </c>
      <c r="L66" s="13">
        <v>19.8</v>
      </c>
      <c r="M66" s="13">
        <v>20</v>
      </c>
      <c r="N66" s="13">
        <v>23.3</v>
      </c>
      <c r="O66" s="13">
        <v>23.5</v>
      </c>
      <c r="P66" s="13">
        <v>23.2</v>
      </c>
      <c r="Q66" s="11"/>
    </row>
    <row r="67" spans="7:17" x14ac:dyDescent="0.25">
      <c r="H67" s="13">
        <v>70</v>
      </c>
      <c r="I67" s="13">
        <v>21.6235294117647</v>
      </c>
      <c r="J67" s="13">
        <v>26.200000000000003</v>
      </c>
      <c r="K67" s="13">
        <v>24.3</v>
      </c>
      <c r="L67" s="13">
        <v>21.6</v>
      </c>
      <c r="M67" s="13">
        <v>22.200000000000003</v>
      </c>
      <c r="N67" s="13">
        <v>29</v>
      </c>
      <c r="O67" s="13">
        <v>25.7</v>
      </c>
      <c r="P67" s="13">
        <v>26.200000000000003</v>
      </c>
      <c r="Q67" s="11"/>
    </row>
    <row r="68" spans="7:17" x14ac:dyDescent="0.25">
      <c r="H68" s="13">
        <v>80</v>
      </c>
      <c r="I68" s="13">
        <v>23.3235294117646</v>
      </c>
      <c r="J68" s="13">
        <v>26.5</v>
      </c>
      <c r="K68" s="13">
        <v>24.6</v>
      </c>
      <c r="L68" s="13">
        <v>23.3</v>
      </c>
      <c r="M68" s="13">
        <v>24.4</v>
      </c>
      <c r="N68" s="13"/>
      <c r="O68" s="13">
        <v>30.4</v>
      </c>
      <c r="P68" s="13">
        <v>31.6</v>
      </c>
      <c r="Q68" s="11"/>
    </row>
    <row r="69" spans="7:17" x14ac:dyDescent="0.25">
      <c r="H69" s="13">
        <v>90</v>
      </c>
      <c r="I69" s="13">
        <v>25.0235294117645</v>
      </c>
      <c r="J69" s="13">
        <v>27.1</v>
      </c>
      <c r="K69" s="13">
        <v>25.099999999999998</v>
      </c>
      <c r="L69" s="13">
        <v>25</v>
      </c>
      <c r="M69" s="13">
        <v>28.5</v>
      </c>
      <c r="N69" s="13"/>
      <c r="O69" s="13">
        <v>35.9</v>
      </c>
      <c r="P69" s="13">
        <v>37.299999999999997</v>
      </c>
    </row>
    <row r="70" spans="7:17" x14ac:dyDescent="0.25">
      <c r="G70" s="15"/>
      <c r="H70" s="13">
        <v>100</v>
      </c>
      <c r="I70" s="13">
        <v>25.468965517240999</v>
      </c>
      <c r="J70" s="13">
        <v>28</v>
      </c>
      <c r="K70" s="13">
        <v>25.5</v>
      </c>
      <c r="L70" s="13">
        <v>26.400000000000002</v>
      </c>
      <c r="M70" s="13"/>
      <c r="N70" s="13"/>
      <c r="O70" s="13"/>
      <c r="P70" s="13"/>
    </row>
    <row r="71" spans="7:17" x14ac:dyDescent="0.25">
      <c r="G71" s="15"/>
      <c r="H71" s="13">
        <v>110</v>
      </c>
      <c r="I71" s="13">
        <v>26.4689655172409</v>
      </c>
      <c r="J71" s="13">
        <v>30.099999999999998</v>
      </c>
      <c r="K71" s="13">
        <v>26.5</v>
      </c>
      <c r="L71" s="13">
        <v>29.2</v>
      </c>
      <c r="M71" s="13"/>
      <c r="N71" s="13"/>
      <c r="O71" s="13"/>
      <c r="P71" s="13"/>
    </row>
    <row r="72" spans="7:17" x14ac:dyDescent="0.25">
      <c r="G72" s="15"/>
      <c r="H72" s="13">
        <v>120</v>
      </c>
      <c r="I72" s="13">
        <v>27.368965517240799</v>
      </c>
      <c r="J72" s="13">
        <v>32.9</v>
      </c>
      <c r="K72" s="13">
        <v>27.400000000000002</v>
      </c>
      <c r="L72" s="13">
        <v>33.1</v>
      </c>
      <c r="M72" s="13"/>
      <c r="N72" s="13"/>
      <c r="O72" s="13"/>
      <c r="P72" s="13"/>
    </row>
    <row r="73" spans="7:17" x14ac:dyDescent="0.25">
      <c r="G73" s="15"/>
      <c r="H73" s="13">
        <v>130</v>
      </c>
      <c r="I73" s="13">
        <v>28.468965517240797</v>
      </c>
      <c r="J73" s="13">
        <v>36.6</v>
      </c>
      <c r="K73" s="13">
        <v>28.5</v>
      </c>
      <c r="L73" s="13"/>
      <c r="M73" s="13"/>
      <c r="N73" s="13"/>
      <c r="O73" s="13"/>
      <c r="P73" s="13"/>
    </row>
    <row r="74" spans="7:17" x14ac:dyDescent="0.25">
      <c r="H74" s="13">
        <v>140</v>
      </c>
      <c r="I74" s="13">
        <v>29.6689655172407</v>
      </c>
      <c r="J74" s="13">
        <v>40.199999999999996</v>
      </c>
      <c r="K74" s="13">
        <v>29.700000000000003</v>
      </c>
      <c r="L74" s="13"/>
      <c r="M74" s="13"/>
      <c r="N74" s="13"/>
      <c r="O74" s="13"/>
      <c r="P74" s="13"/>
    </row>
    <row r="75" spans="7:17" x14ac:dyDescent="0.25">
      <c r="H75" s="13">
        <v>150</v>
      </c>
      <c r="I75" s="13">
        <v>32.368965517240596</v>
      </c>
      <c r="J75" s="13"/>
      <c r="K75" s="13">
        <v>32.400000000000006</v>
      </c>
      <c r="L75" s="13"/>
      <c r="M75" s="13"/>
      <c r="N75" s="13"/>
      <c r="O75" s="13"/>
      <c r="P75" s="13"/>
    </row>
    <row r="77" spans="7:17" x14ac:dyDescent="0.25">
      <c r="M77" s="7">
        <v>10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Z76"/>
  <sheetViews>
    <sheetView zoomScale="68" zoomScaleNormal="68" workbookViewId="0">
      <selection activeCell="C4" sqref="C4"/>
    </sheetView>
  </sheetViews>
  <sheetFormatPr defaultRowHeight="15" x14ac:dyDescent="0.25"/>
  <cols>
    <col min="2" max="2" width="10" bestFit="1" customWidth="1"/>
    <col min="4" max="4" width="10.7109375" bestFit="1" customWidth="1"/>
    <col min="13" max="13" width="12.28515625" customWidth="1"/>
    <col min="15" max="16" width="9.140625" style="7"/>
  </cols>
  <sheetData>
    <row r="1" spans="1:19" x14ac:dyDescent="0.25">
      <c r="A1" s="1"/>
      <c r="B1" s="1"/>
      <c r="C1" s="1"/>
      <c r="D1" s="1"/>
      <c r="E1" s="1"/>
      <c r="F1" s="1"/>
      <c r="G1" s="1"/>
      <c r="H1" s="1">
        <v>7</v>
      </c>
      <c r="I1" s="1">
        <f>H2*H1</f>
        <v>112000</v>
      </c>
      <c r="J1" s="1"/>
      <c r="K1" s="10" t="s">
        <v>9</v>
      </c>
      <c r="L1" s="10" t="s">
        <v>10</v>
      </c>
      <c r="M1" s="10" t="s">
        <v>11</v>
      </c>
      <c r="N1" s="10"/>
      <c r="O1" s="10" t="s">
        <v>12</v>
      </c>
      <c r="P1" s="10" t="s">
        <v>13</v>
      </c>
      <c r="Q1" s="10"/>
      <c r="R1" s="10"/>
    </row>
    <row r="2" spans="1:19" x14ac:dyDescent="0.25">
      <c r="A2" s="1"/>
      <c r="B2" s="2"/>
      <c r="C2" s="2"/>
      <c r="D2" s="2"/>
      <c r="E2" s="2"/>
      <c r="F2" s="2"/>
      <c r="G2" s="2"/>
      <c r="H2" s="2">
        <v>16000</v>
      </c>
      <c r="I2" s="2"/>
      <c r="J2" s="10"/>
      <c r="K2" s="10">
        <v>298.14999999999998</v>
      </c>
      <c r="L2" s="10">
        <v>518</v>
      </c>
      <c r="M2" s="10">
        <v>1.31</v>
      </c>
      <c r="N2" s="10"/>
      <c r="O2" s="10">
        <v>0.7</v>
      </c>
      <c r="P2" s="10">
        <v>0.64867020297709943</v>
      </c>
      <c r="Q2" s="10"/>
    </row>
    <row r="3" spans="1:19" x14ac:dyDescent="0.25">
      <c r="A3" s="1"/>
      <c r="B3" s="10" t="s">
        <v>0</v>
      </c>
      <c r="C3" s="10">
        <v>30</v>
      </c>
      <c r="D3" s="10">
        <v>40</v>
      </c>
      <c r="E3" s="10">
        <v>50</v>
      </c>
      <c r="F3" s="10">
        <v>60</v>
      </c>
      <c r="G3" s="2"/>
      <c r="H3" s="2"/>
      <c r="I3" s="2"/>
      <c r="J3" s="10" t="s">
        <v>6</v>
      </c>
      <c r="K3" s="10" t="s">
        <v>5</v>
      </c>
      <c r="L3" s="10" t="s">
        <v>7</v>
      </c>
      <c r="M3" s="10" t="s">
        <v>8</v>
      </c>
      <c r="N3" s="10" t="s">
        <v>1</v>
      </c>
      <c r="O3" s="10" t="s">
        <v>2</v>
      </c>
      <c r="P3" s="10" t="s">
        <v>3</v>
      </c>
      <c r="Q3" s="10" t="s">
        <v>4</v>
      </c>
      <c r="R3" s="6"/>
      <c r="S3" s="6"/>
    </row>
    <row r="4" spans="1:19" x14ac:dyDescent="0.25">
      <c r="A4" s="1"/>
      <c r="B4" s="10">
        <v>10</v>
      </c>
      <c r="C4" s="10">
        <v>8.533689839572201</v>
      </c>
      <c r="D4" s="10">
        <v>9.1449197860962599</v>
      </c>
      <c r="E4" s="10">
        <v>10.6561497326203</v>
      </c>
      <c r="F4" s="10">
        <v>14.8871972318339</v>
      </c>
      <c r="G4" s="2"/>
      <c r="H4" s="2"/>
      <c r="I4" s="2"/>
      <c r="J4" s="2">
        <f>B4*1000000/24/60/60</f>
        <v>115.74074074074073</v>
      </c>
      <c r="K4" s="2">
        <f t="shared" ref="K4:K17" si="0">J4*$P$2</f>
        <v>75.077569789016138</v>
      </c>
      <c r="L4" s="2" t="e">
        <f ca="1">$I$1*1000*$O$2*($M$2-1)/K4/$C$37/$L$2/$K$2/$M$2</f>
        <v>#NAME?</v>
      </c>
      <c r="M4" s="2" t="e">
        <f ca="1">POWER((L4+1),$M$2/($M$2-1))</f>
        <v>#NAME?</v>
      </c>
      <c r="N4" s="2" t="e">
        <f ca="1">C$3/$M4</f>
        <v>#NAME?</v>
      </c>
      <c r="O4" s="7" t="e">
        <f t="shared" ref="O4:Q4" ca="1" si="1">D$3/$M4</f>
        <v>#NAME?</v>
      </c>
      <c r="P4" s="7" t="e">
        <f ca="1">E$3/$M4</f>
        <v>#NAME?</v>
      </c>
      <c r="Q4" s="7" t="e">
        <f t="shared" ca="1" si="1"/>
        <v>#NAME?</v>
      </c>
      <c r="R4" s="2"/>
    </row>
    <row r="5" spans="1:19" x14ac:dyDescent="0.25">
      <c r="A5" s="1"/>
      <c r="B5" s="10">
        <v>20</v>
      </c>
      <c r="C5" s="10">
        <v>8.533689839572201</v>
      </c>
      <c r="D5" s="10">
        <v>9.1449197860962599</v>
      </c>
      <c r="E5" s="10">
        <v>10.6561497326203</v>
      </c>
      <c r="F5" s="10">
        <v>14.8871972318339</v>
      </c>
      <c r="G5" s="2"/>
      <c r="H5" s="2"/>
      <c r="I5" s="2"/>
      <c r="J5" s="6">
        <f t="shared" ref="J5:J17" si="2">B5*1000000/24/60/60</f>
        <v>231.48148148148147</v>
      </c>
      <c r="K5" s="7">
        <f t="shared" si="0"/>
        <v>150.15513957803228</v>
      </c>
      <c r="L5" s="7" t="e">
        <f ca="1">$I$1*1000*$O$2*($M$2-1)/K5/$C$37/$L$2/$K$2/$M$2</f>
        <v>#NAME?</v>
      </c>
      <c r="M5" s="7" t="e">
        <f t="shared" ref="M5:M17" ca="1" si="3">POWER((L5+1),$M$2/($M$2-1))</f>
        <v>#NAME?</v>
      </c>
      <c r="N5" s="7" t="e">
        <f t="shared" ref="N5:N17" ca="1" si="4">$C$3/M5</f>
        <v>#NAME?</v>
      </c>
      <c r="O5" s="7" t="e">
        <f t="shared" ref="O5:O17" ca="1" si="5">D$3/$M5</f>
        <v>#NAME?</v>
      </c>
      <c r="P5" s="7" t="e">
        <f t="shared" ref="P5:P17" ca="1" si="6">E$3/$M5</f>
        <v>#NAME?</v>
      </c>
      <c r="Q5" s="7" t="e">
        <f t="shared" ref="Q5:Q17" ca="1" si="7">F$3/$M5</f>
        <v>#NAME?</v>
      </c>
      <c r="R5" s="2"/>
    </row>
    <row r="6" spans="1:19" x14ac:dyDescent="0.25">
      <c r="A6" s="1"/>
      <c r="B6" s="10">
        <v>30</v>
      </c>
      <c r="C6" s="10">
        <v>8.533689839572201</v>
      </c>
      <c r="D6" s="10">
        <v>9.4449197860962606</v>
      </c>
      <c r="E6" s="10">
        <v>10.556149732620298</v>
      </c>
      <c r="F6" s="10">
        <v>14.8871972318339</v>
      </c>
      <c r="G6" s="2"/>
      <c r="H6" s="2"/>
      <c r="I6" s="2"/>
      <c r="J6" s="6">
        <f t="shared" si="2"/>
        <v>347.22222222222223</v>
      </c>
      <c r="K6" s="7">
        <f t="shared" si="0"/>
        <v>225.23270936704841</v>
      </c>
      <c r="L6" s="7" t="e">
        <f t="shared" ref="L6:L17" ca="1" si="8">$I$1*1000*$O$2*($M$2-1)/K6/$C$37/$L$2/$K$2/$M$2</f>
        <v>#NAME?</v>
      </c>
      <c r="M6" s="7" t="e">
        <f t="shared" ca="1" si="3"/>
        <v>#NAME?</v>
      </c>
      <c r="N6" s="7" t="e">
        <f t="shared" ca="1" si="4"/>
        <v>#NAME?</v>
      </c>
      <c r="O6" s="7" t="e">
        <f t="shared" ca="1" si="5"/>
        <v>#NAME?</v>
      </c>
      <c r="P6" s="7" t="e">
        <f t="shared" ca="1" si="6"/>
        <v>#NAME?</v>
      </c>
      <c r="Q6" s="7" t="e">
        <f t="shared" ca="1" si="7"/>
        <v>#NAME?</v>
      </c>
      <c r="R6" s="2"/>
    </row>
    <row r="7" spans="1:19" x14ac:dyDescent="0.25">
      <c r="A7" s="1"/>
      <c r="B7" s="10">
        <v>40</v>
      </c>
      <c r="C7" s="10">
        <v>10.7336898395722</v>
      </c>
      <c r="D7" s="10">
        <v>11.344919786096298</v>
      </c>
      <c r="E7" s="10">
        <v>13.056149732620298</v>
      </c>
      <c r="F7" s="10">
        <v>14.8871972318339</v>
      </c>
      <c r="G7" s="2"/>
      <c r="H7" s="2"/>
      <c r="I7" s="2"/>
      <c r="J7" s="6">
        <f t="shared" si="2"/>
        <v>462.96296296296293</v>
      </c>
      <c r="K7" s="7">
        <f t="shared" si="0"/>
        <v>300.31027915606455</v>
      </c>
      <c r="L7" s="7" t="e">
        <f t="shared" ca="1" si="8"/>
        <v>#NAME?</v>
      </c>
      <c r="M7" s="7" t="e">
        <f t="shared" ca="1" si="3"/>
        <v>#NAME?</v>
      </c>
      <c r="N7" s="7" t="e">
        <f t="shared" ca="1" si="4"/>
        <v>#NAME?</v>
      </c>
      <c r="O7" s="7" t="e">
        <f t="shared" ca="1" si="5"/>
        <v>#NAME?</v>
      </c>
      <c r="P7" s="7" t="e">
        <f t="shared" ca="1" si="6"/>
        <v>#NAME?</v>
      </c>
      <c r="Q7" s="7" t="e">
        <f t="shared" ca="1" si="7"/>
        <v>#NAME?</v>
      </c>
      <c r="R7" s="2"/>
    </row>
    <row r="8" spans="1:19" x14ac:dyDescent="0.25">
      <c r="A8" s="1"/>
      <c r="B8" s="10">
        <v>50</v>
      </c>
      <c r="C8" s="10">
        <v>12.443137254901998</v>
      </c>
      <c r="D8" s="10">
        <v>13.644919786096299</v>
      </c>
      <c r="E8" s="10">
        <v>14.9561497326203</v>
      </c>
      <c r="F8" s="10">
        <v>16.7871972318339</v>
      </c>
      <c r="G8" s="2"/>
      <c r="H8" s="2"/>
      <c r="I8" s="2"/>
      <c r="J8" s="6">
        <f t="shared" si="2"/>
        <v>578.7037037037037</v>
      </c>
      <c r="K8" s="7">
        <f t="shared" si="0"/>
        <v>375.38784894508069</v>
      </c>
      <c r="L8" s="7" t="e">
        <f t="shared" ca="1" si="8"/>
        <v>#NAME?</v>
      </c>
      <c r="M8" s="7" t="e">
        <f t="shared" ca="1" si="3"/>
        <v>#NAME?</v>
      </c>
      <c r="N8" s="7" t="e">
        <f t="shared" ca="1" si="4"/>
        <v>#NAME?</v>
      </c>
      <c r="O8" s="7" t="e">
        <f t="shared" ca="1" si="5"/>
        <v>#NAME?</v>
      </c>
      <c r="P8" s="7" t="e">
        <f t="shared" ca="1" si="6"/>
        <v>#NAME?</v>
      </c>
      <c r="Q8" s="7" t="e">
        <f t="shared" ca="1" si="7"/>
        <v>#NAME?</v>
      </c>
      <c r="R8" s="2"/>
    </row>
    <row r="9" spans="1:19" x14ac:dyDescent="0.25">
      <c r="A9" s="1"/>
      <c r="B9" s="10">
        <v>60</v>
      </c>
      <c r="C9" s="10">
        <v>14.343137254902</v>
      </c>
      <c r="D9" s="10">
        <v>15.457516339869299</v>
      </c>
      <c r="E9" s="10">
        <v>17.056149732620302</v>
      </c>
      <c r="F9" s="10">
        <v>18.7871972318339</v>
      </c>
      <c r="G9" s="2"/>
      <c r="H9" s="2"/>
      <c r="I9" s="2"/>
      <c r="J9" s="6">
        <f t="shared" si="2"/>
        <v>694.44444444444446</v>
      </c>
      <c r="K9" s="7">
        <f t="shared" si="0"/>
        <v>450.46541873409683</v>
      </c>
      <c r="L9" s="7" t="e">
        <f t="shared" ca="1" si="8"/>
        <v>#NAME?</v>
      </c>
      <c r="M9" s="7" t="e">
        <f t="shared" ca="1" si="3"/>
        <v>#NAME?</v>
      </c>
      <c r="N9" s="7" t="e">
        <f t="shared" ca="1" si="4"/>
        <v>#NAME?</v>
      </c>
      <c r="O9" s="7" t="e">
        <f t="shared" ca="1" si="5"/>
        <v>#NAME?</v>
      </c>
      <c r="P9" s="7" t="e">
        <f t="shared" ca="1" si="6"/>
        <v>#NAME?</v>
      </c>
      <c r="Q9" s="7" t="e">
        <f t="shared" ca="1" si="7"/>
        <v>#NAME?</v>
      </c>
      <c r="R9" s="2"/>
    </row>
    <row r="10" spans="1:19" x14ac:dyDescent="0.25">
      <c r="A10" s="1"/>
      <c r="B10" s="10">
        <v>70</v>
      </c>
      <c r="C10" s="10">
        <v>16.095402298850601</v>
      </c>
      <c r="D10" s="10">
        <v>17.057516339869302</v>
      </c>
      <c r="E10" s="10">
        <v>18.4718954248366</v>
      </c>
      <c r="F10" s="10">
        <v>21.586274509803797</v>
      </c>
      <c r="G10" s="2"/>
      <c r="H10" s="2"/>
      <c r="I10" s="2"/>
      <c r="J10" s="6">
        <f t="shared" si="2"/>
        <v>810.18518518518511</v>
      </c>
      <c r="K10" s="7">
        <f t="shared" si="0"/>
        <v>525.54298852311297</v>
      </c>
      <c r="L10" s="7" t="e">
        <f t="shared" ca="1" si="8"/>
        <v>#NAME?</v>
      </c>
      <c r="M10" s="7" t="e">
        <f t="shared" ca="1" si="3"/>
        <v>#NAME?</v>
      </c>
      <c r="N10" s="7" t="e">
        <f t="shared" ca="1" si="4"/>
        <v>#NAME?</v>
      </c>
      <c r="O10" s="7" t="e">
        <f t="shared" ca="1" si="5"/>
        <v>#NAME?</v>
      </c>
      <c r="P10" s="7" t="e">
        <f t="shared" ca="1" si="6"/>
        <v>#NAME?</v>
      </c>
      <c r="Q10" s="7" t="e">
        <f t="shared" ca="1" si="7"/>
        <v>#NAME?</v>
      </c>
      <c r="R10" s="2"/>
    </row>
    <row r="11" spans="1:19" x14ac:dyDescent="0.25">
      <c r="A11" s="1"/>
      <c r="B11" s="10">
        <v>80</v>
      </c>
      <c r="C11" s="10">
        <v>18.2954022988506</v>
      </c>
      <c r="D11" s="10">
        <v>18.957516339869301</v>
      </c>
      <c r="E11" s="10">
        <v>20.471895424836603</v>
      </c>
      <c r="F11" s="10">
        <v>24.086274509803701</v>
      </c>
      <c r="G11" s="2"/>
      <c r="H11" s="2"/>
      <c r="I11" s="2"/>
      <c r="J11" s="6">
        <f t="shared" si="2"/>
        <v>925.92592592592587</v>
      </c>
      <c r="K11" s="7">
        <f t="shared" si="0"/>
        <v>600.62055831212911</v>
      </c>
      <c r="L11" s="7" t="e">
        <f t="shared" ca="1" si="8"/>
        <v>#NAME?</v>
      </c>
      <c r="M11" s="7" t="e">
        <f t="shared" ca="1" si="3"/>
        <v>#NAME?</v>
      </c>
      <c r="N11" s="7" t="e">
        <f t="shared" ca="1" si="4"/>
        <v>#NAME?</v>
      </c>
      <c r="O11" s="7" t="e">
        <f t="shared" ca="1" si="5"/>
        <v>#NAME?</v>
      </c>
      <c r="P11" s="7" t="e">
        <f t="shared" ca="1" si="6"/>
        <v>#NAME?</v>
      </c>
      <c r="Q11" s="7" t="e">
        <f t="shared" ca="1" si="7"/>
        <v>#NAME?</v>
      </c>
      <c r="R11" s="2"/>
    </row>
    <row r="12" spans="1:19" x14ac:dyDescent="0.25">
      <c r="A12" s="1"/>
      <c r="B12" s="10">
        <v>90</v>
      </c>
      <c r="C12" s="10">
        <v>20.395402298850598</v>
      </c>
      <c r="D12" s="10">
        <v>20.360536398467399</v>
      </c>
      <c r="E12" s="10">
        <v>22.525670498084096</v>
      </c>
      <c r="F12" s="10">
        <v>26.286274509803601</v>
      </c>
      <c r="G12" s="2"/>
      <c r="H12" s="2"/>
      <c r="I12" s="2"/>
      <c r="J12" s="6">
        <f t="shared" si="2"/>
        <v>1041.6666666666667</v>
      </c>
      <c r="K12" s="7">
        <f t="shared" si="0"/>
        <v>675.69812810114524</v>
      </c>
      <c r="L12" s="7" t="e">
        <f t="shared" ca="1" si="8"/>
        <v>#NAME?</v>
      </c>
      <c r="M12" s="7" t="e">
        <f t="shared" ca="1" si="3"/>
        <v>#NAME?</v>
      </c>
      <c r="N12" s="7" t="e">
        <f t="shared" ca="1" si="4"/>
        <v>#NAME?</v>
      </c>
      <c r="O12" s="7" t="e">
        <f ca="1">D$3/$M12</f>
        <v>#NAME?</v>
      </c>
      <c r="P12" s="7" t="e">
        <f t="shared" ca="1" si="6"/>
        <v>#NAME?</v>
      </c>
      <c r="Q12" s="7" t="e">
        <f t="shared" ca="1" si="7"/>
        <v>#NAME?</v>
      </c>
      <c r="R12" s="2"/>
    </row>
    <row r="13" spans="1:19" x14ac:dyDescent="0.25">
      <c r="A13" s="1"/>
      <c r="B13" s="10">
        <v>100</v>
      </c>
      <c r="C13" s="10">
        <v>22.395402298850499</v>
      </c>
      <c r="D13" s="10">
        <v>22.460536398467397</v>
      </c>
      <c r="E13" s="10">
        <v>23.625670498083998</v>
      </c>
      <c r="F13" s="10">
        <v>28.090804597700696</v>
      </c>
      <c r="G13" s="2"/>
      <c r="H13" s="2"/>
      <c r="I13" s="2"/>
      <c r="J13" s="6">
        <f t="shared" si="2"/>
        <v>1157.4074074074074</v>
      </c>
      <c r="K13" s="7">
        <f t="shared" si="0"/>
        <v>750.77569789016138</v>
      </c>
      <c r="L13" s="7" t="e">
        <f t="shared" ca="1" si="8"/>
        <v>#NAME?</v>
      </c>
      <c r="M13" s="7" t="e">
        <f t="shared" ca="1" si="3"/>
        <v>#NAME?</v>
      </c>
      <c r="N13" s="7" t="e">
        <f t="shared" ca="1" si="4"/>
        <v>#NAME?</v>
      </c>
      <c r="O13" s="7" t="e">
        <f t="shared" ca="1" si="5"/>
        <v>#NAME?</v>
      </c>
      <c r="P13" s="7" t="e">
        <f t="shared" ca="1" si="6"/>
        <v>#NAME?</v>
      </c>
      <c r="Q13" s="7" t="e">
        <f t="shared" ca="1" si="7"/>
        <v>#NAME?</v>
      </c>
      <c r="R13" s="2"/>
    </row>
    <row r="14" spans="1:19" x14ac:dyDescent="0.25">
      <c r="A14" s="1"/>
      <c r="B14" s="10">
        <v>110</v>
      </c>
      <c r="C14" s="10">
        <v>25.295402298850398</v>
      </c>
      <c r="D14" s="10">
        <v>25.260536398467298</v>
      </c>
      <c r="E14" s="10">
        <v>25.025670498084001</v>
      </c>
      <c r="F14" s="10">
        <v>29.5908045977006</v>
      </c>
      <c r="G14" s="2"/>
      <c r="H14" s="2"/>
      <c r="I14" s="2"/>
      <c r="J14" s="6">
        <f t="shared" si="2"/>
        <v>1273.1481481481483</v>
      </c>
      <c r="K14" s="7">
        <f t="shared" si="0"/>
        <v>825.85326767917763</v>
      </c>
      <c r="L14" s="7" t="e">
        <f t="shared" ca="1" si="8"/>
        <v>#NAME?</v>
      </c>
      <c r="M14" s="7" t="e">
        <f t="shared" ca="1" si="3"/>
        <v>#NAME?</v>
      </c>
      <c r="N14" s="7" t="e">
        <f t="shared" ca="1" si="4"/>
        <v>#NAME?</v>
      </c>
      <c r="O14" s="7" t="e">
        <f t="shared" ca="1" si="5"/>
        <v>#NAME?</v>
      </c>
      <c r="P14" s="7" t="e">
        <f ca="1">E$3/$M14</f>
        <v>#NAME?</v>
      </c>
      <c r="Q14" s="7" t="e">
        <f t="shared" ca="1" si="7"/>
        <v>#NAME?</v>
      </c>
    </row>
    <row r="15" spans="1:19" x14ac:dyDescent="0.25">
      <c r="A15" s="1"/>
      <c r="B15" s="10">
        <v>120</v>
      </c>
      <c r="C15" s="10">
        <v>29.3954022988503</v>
      </c>
      <c r="D15" s="10">
        <v>29.160536398467197</v>
      </c>
      <c r="E15" s="10">
        <v>29.125670498083803</v>
      </c>
      <c r="F15" s="10">
        <v>30.7908045977005</v>
      </c>
      <c r="G15" s="2"/>
      <c r="H15" s="2"/>
      <c r="I15" s="2"/>
      <c r="J15" s="6">
        <f t="shared" si="2"/>
        <v>1388.8888888888889</v>
      </c>
      <c r="K15" s="7">
        <f t="shared" si="0"/>
        <v>900.93083746819366</v>
      </c>
      <c r="L15" s="7" t="e">
        <f t="shared" ca="1" si="8"/>
        <v>#NAME?</v>
      </c>
      <c r="M15" s="7" t="e">
        <f t="shared" ca="1" si="3"/>
        <v>#NAME?</v>
      </c>
      <c r="N15" s="7" t="e">
        <f t="shared" ca="1" si="4"/>
        <v>#NAME?</v>
      </c>
      <c r="O15" s="7" t="e">
        <f t="shared" ca="1" si="5"/>
        <v>#NAME?</v>
      </c>
      <c r="P15" s="7" t="e">
        <f t="shared" ca="1" si="6"/>
        <v>#NAME?</v>
      </c>
      <c r="Q15" s="7" t="e">
        <f t="shared" ca="1" si="7"/>
        <v>#NAME?</v>
      </c>
    </row>
    <row r="16" spans="1:19" x14ac:dyDescent="0.25">
      <c r="A16" s="1"/>
      <c r="B16" s="10">
        <v>130</v>
      </c>
      <c r="C16" s="10">
        <v>33.359259259258799</v>
      </c>
      <c r="D16" s="10">
        <v>33.045679012345197</v>
      </c>
      <c r="E16" s="10">
        <v>33.332098765431304</v>
      </c>
      <c r="F16" s="10">
        <v>34.218518518517705</v>
      </c>
      <c r="G16" s="2"/>
      <c r="H16" s="2"/>
      <c r="I16" s="2"/>
      <c r="J16" s="6">
        <f t="shared" si="2"/>
        <v>1504.6296296296298</v>
      </c>
      <c r="K16" s="7">
        <f t="shared" si="0"/>
        <v>976.00840725720991</v>
      </c>
      <c r="L16" s="7" t="e">
        <f t="shared" ca="1" si="8"/>
        <v>#NAME?</v>
      </c>
      <c r="M16" s="7" t="e">
        <f t="shared" ca="1" si="3"/>
        <v>#NAME?</v>
      </c>
      <c r="N16" s="7" t="e">
        <f t="shared" ca="1" si="4"/>
        <v>#NAME?</v>
      </c>
      <c r="O16" s="7" t="e">
        <f t="shared" ca="1" si="5"/>
        <v>#NAME?</v>
      </c>
      <c r="P16" s="7" t="e">
        <f t="shared" ca="1" si="6"/>
        <v>#NAME?</v>
      </c>
      <c r="Q16" s="7" t="e">
        <f t="shared" ca="1" si="7"/>
        <v>#NAME?</v>
      </c>
    </row>
    <row r="17" spans="1:17" x14ac:dyDescent="0.25">
      <c r="A17" s="1"/>
      <c r="B17" s="10">
        <v>140</v>
      </c>
      <c r="C17" s="10">
        <v>37.559259259258702</v>
      </c>
      <c r="D17" s="10">
        <v>37.545679012345097</v>
      </c>
      <c r="E17" s="10">
        <v>37.532098765431201</v>
      </c>
      <c r="F17" s="10">
        <v>37.518518518517602</v>
      </c>
      <c r="G17" s="2"/>
      <c r="H17" s="2"/>
      <c r="I17" s="2"/>
      <c r="J17" s="6">
        <f t="shared" si="2"/>
        <v>1620.3703703703702</v>
      </c>
      <c r="K17" s="7">
        <f t="shared" si="0"/>
        <v>1051.0859770462259</v>
      </c>
      <c r="L17" s="7" t="e">
        <f t="shared" ca="1" si="8"/>
        <v>#NAME?</v>
      </c>
      <c r="M17" s="7" t="e">
        <f t="shared" ca="1" si="3"/>
        <v>#NAME?</v>
      </c>
      <c r="N17" s="7" t="e">
        <f t="shared" ca="1" si="4"/>
        <v>#NAME?</v>
      </c>
      <c r="O17" s="7" t="e">
        <f t="shared" ca="1" si="5"/>
        <v>#NAME?</v>
      </c>
      <c r="P17" s="7" t="e">
        <f t="shared" ca="1" si="6"/>
        <v>#NAME?</v>
      </c>
      <c r="Q17" s="7" t="e">
        <f t="shared" ca="1" si="7"/>
        <v>#NAME?</v>
      </c>
    </row>
    <row r="18" spans="1:17" x14ac:dyDescent="0.25">
      <c r="A18" s="1"/>
      <c r="B18" s="5"/>
      <c r="C18" s="4"/>
      <c r="D18" s="4"/>
      <c r="E18" s="4"/>
      <c r="F18" s="6"/>
      <c r="G18" s="2"/>
      <c r="H18" s="2"/>
      <c r="I18" s="2"/>
      <c r="J18" s="6"/>
      <c r="K18" s="7"/>
      <c r="L18" s="7"/>
      <c r="M18" s="7"/>
      <c r="N18" s="7"/>
      <c r="Q18" s="7"/>
    </row>
    <row r="19" spans="1:17" x14ac:dyDescent="0.25">
      <c r="A19" s="1"/>
      <c r="B19" s="2"/>
      <c r="C19" s="3"/>
      <c r="D19" s="2"/>
      <c r="E19" s="2"/>
      <c r="F19" s="2"/>
      <c r="G19" s="2"/>
      <c r="H19" s="2"/>
      <c r="I19" s="2"/>
      <c r="J19" s="2"/>
      <c r="K19" s="2"/>
      <c r="L19" s="2"/>
    </row>
    <row r="20" spans="1:17" x14ac:dyDescent="0.25">
      <c r="B20" s="2"/>
      <c r="C20" s="3"/>
      <c r="D20" s="2"/>
      <c r="E20" s="2"/>
      <c r="F20" s="2"/>
      <c r="G20" s="2"/>
      <c r="H20" s="2"/>
      <c r="I20" s="2"/>
      <c r="J20" s="2"/>
      <c r="K20" s="2"/>
      <c r="L20" s="2"/>
    </row>
    <row r="22" spans="1:17" x14ac:dyDescent="0.25">
      <c r="C22" t="e">
        <f ca="1">[1]!zBarKelv(C4,$K$2)</f>
        <v>#NAME?</v>
      </c>
      <c r="D22" s="7" t="e">
        <f t="shared" ref="D22:F22" ca="1" si="9">[1]!zBarKelv(D4,$K$2)</f>
        <v>#NAME?</v>
      </c>
      <c r="E22" s="7" t="e">
        <f t="shared" ca="1" si="9"/>
        <v>#NAME?</v>
      </c>
      <c r="F22" s="7" t="e">
        <f t="shared" ca="1" si="9"/>
        <v>#NAME?</v>
      </c>
    </row>
    <row r="23" spans="1:17" x14ac:dyDescent="0.25">
      <c r="A23" s="1"/>
      <c r="B23" s="1"/>
      <c r="C23" s="7" t="e">
        <f t="shared" ref="C23:F36" ca="1" si="10">[1]!zBarKelv(C5,$K$2)</f>
        <v>#NAME?</v>
      </c>
      <c r="D23" s="7" t="e">
        <f t="shared" ca="1" si="10"/>
        <v>#NAME?</v>
      </c>
      <c r="E23" s="7" t="e">
        <f t="shared" ca="1" si="10"/>
        <v>#NAME?</v>
      </c>
      <c r="F23" s="7" t="e">
        <f t="shared" ca="1" si="10"/>
        <v>#NAME?</v>
      </c>
      <c r="G23" s="1"/>
      <c r="H23" s="1"/>
      <c r="I23" s="1"/>
      <c r="J23" s="1"/>
      <c r="K23" s="1"/>
    </row>
    <row r="24" spans="1:17" x14ac:dyDescent="0.25">
      <c r="B24" s="2"/>
      <c r="C24" s="7" t="e">
        <f t="shared" ca="1" si="10"/>
        <v>#NAME?</v>
      </c>
      <c r="D24" s="7" t="e">
        <f t="shared" ca="1" si="10"/>
        <v>#NAME?</v>
      </c>
      <c r="E24" s="7" t="e">
        <f t="shared" ca="1" si="10"/>
        <v>#NAME?</v>
      </c>
      <c r="F24" s="7" t="e">
        <f t="shared" ca="1" si="10"/>
        <v>#NAME?</v>
      </c>
      <c r="G24" s="2"/>
      <c r="H24" s="2"/>
      <c r="I24" s="2"/>
      <c r="J24" s="2"/>
      <c r="K24" s="2"/>
      <c r="L24" s="2"/>
    </row>
    <row r="25" spans="1:17" x14ac:dyDescent="0.25">
      <c r="C25" s="7" t="e">
        <f t="shared" ca="1" si="10"/>
        <v>#NAME?</v>
      </c>
      <c r="D25" s="7" t="e">
        <f t="shared" ca="1" si="10"/>
        <v>#NAME?</v>
      </c>
      <c r="E25" s="7" t="e">
        <f t="shared" ca="1" si="10"/>
        <v>#NAME?</v>
      </c>
      <c r="F25" s="7" t="e">
        <f t="shared" ca="1" si="10"/>
        <v>#NAME?</v>
      </c>
    </row>
    <row r="26" spans="1:17" x14ac:dyDescent="0.25">
      <c r="C26" s="7" t="e">
        <f t="shared" ca="1" si="10"/>
        <v>#NAME?</v>
      </c>
      <c r="D26" s="7" t="e">
        <f t="shared" ca="1" si="10"/>
        <v>#NAME?</v>
      </c>
      <c r="E26" s="7" t="e">
        <f t="shared" ca="1" si="10"/>
        <v>#NAME?</v>
      </c>
      <c r="F26" s="7" t="e">
        <f t="shared" ca="1" si="10"/>
        <v>#NAME?</v>
      </c>
    </row>
    <row r="27" spans="1:17" x14ac:dyDescent="0.25">
      <c r="C27" s="7" t="e">
        <f t="shared" ca="1" si="10"/>
        <v>#NAME?</v>
      </c>
      <c r="D27" s="7" t="e">
        <f t="shared" ca="1" si="10"/>
        <v>#NAME?</v>
      </c>
      <c r="E27" s="7" t="e">
        <f t="shared" ca="1" si="10"/>
        <v>#NAME?</v>
      </c>
      <c r="F27" s="7" t="e">
        <f t="shared" ca="1" si="10"/>
        <v>#NAME?</v>
      </c>
    </row>
    <row r="28" spans="1:17" x14ac:dyDescent="0.25">
      <c r="C28" s="7" t="e">
        <f t="shared" ca="1" si="10"/>
        <v>#NAME?</v>
      </c>
      <c r="D28" s="7" t="e">
        <f t="shared" ca="1" si="10"/>
        <v>#NAME?</v>
      </c>
      <c r="E28" s="7" t="e">
        <f t="shared" ca="1" si="10"/>
        <v>#NAME?</v>
      </c>
      <c r="F28" s="7" t="e">
        <f t="shared" ca="1" si="10"/>
        <v>#NAME?</v>
      </c>
    </row>
    <row r="29" spans="1:17" x14ac:dyDescent="0.25">
      <c r="C29" s="7" t="e">
        <f t="shared" ca="1" si="10"/>
        <v>#NAME?</v>
      </c>
      <c r="D29" s="7" t="e">
        <f t="shared" ca="1" si="10"/>
        <v>#NAME?</v>
      </c>
      <c r="E29" s="7" t="e">
        <f t="shared" ca="1" si="10"/>
        <v>#NAME?</v>
      </c>
      <c r="F29" s="7" t="e">
        <f t="shared" ca="1" si="10"/>
        <v>#NAME?</v>
      </c>
    </row>
    <row r="30" spans="1:17" x14ac:dyDescent="0.25">
      <c r="C30" s="7" t="e">
        <f t="shared" ca="1" si="10"/>
        <v>#NAME?</v>
      </c>
      <c r="D30" s="7" t="e">
        <f t="shared" ca="1" si="10"/>
        <v>#NAME?</v>
      </c>
      <c r="E30" s="7" t="e">
        <f t="shared" ca="1" si="10"/>
        <v>#NAME?</v>
      </c>
      <c r="F30" s="7" t="e">
        <f t="shared" ca="1" si="10"/>
        <v>#NAME?</v>
      </c>
    </row>
    <row r="31" spans="1:17" x14ac:dyDescent="0.25">
      <c r="C31" s="7" t="e">
        <f t="shared" ca="1" si="10"/>
        <v>#NAME?</v>
      </c>
      <c r="D31" s="7" t="e">
        <f t="shared" ca="1" si="10"/>
        <v>#NAME?</v>
      </c>
      <c r="E31" s="7" t="e">
        <f t="shared" ca="1" si="10"/>
        <v>#NAME?</v>
      </c>
      <c r="F31" s="7" t="e">
        <f t="shared" ca="1" si="10"/>
        <v>#NAME?</v>
      </c>
    </row>
    <row r="32" spans="1:17" x14ac:dyDescent="0.25">
      <c r="C32" s="7" t="e">
        <f t="shared" ca="1" si="10"/>
        <v>#NAME?</v>
      </c>
      <c r="D32" s="7" t="e">
        <f t="shared" ca="1" si="10"/>
        <v>#NAME?</v>
      </c>
      <c r="E32" s="7" t="e">
        <f t="shared" ca="1" si="10"/>
        <v>#NAME?</v>
      </c>
      <c r="F32" s="7" t="e">
        <f t="shared" ca="1" si="10"/>
        <v>#NAME?</v>
      </c>
    </row>
    <row r="33" spans="3:6" x14ac:dyDescent="0.25">
      <c r="C33" s="7" t="e">
        <f t="shared" ca="1" si="10"/>
        <v>#NAME?</v>
      </c>
      <c r="D33" s="7" t="e">
        <f t="shared" ca="1" si="10"/>
        <v>#NAME?</v>
      </c>
      <c r="E33" s="7" t="e">
        <f t="shared" ca="1" si="10"/>
        <v>#NAME?</v>
      </c>
      <c r="F33" s="7" t="e">
        <f t="shared" ca="1" si="10"/>
        <v>#NAME?</v>
      </c>
    </row>
    <row r="34" spans="3:6" x14ac:dyDescent="0.25">
      <c r="C34" s="7" t="e">
        <f t="shared" ca="1" si="10"/>
        <v>#NAME?</v>
      </c>
      <c r="D34" s="7" t="e">
        <f t="shared" ca="1" si="10"/>
        <v>#NAME?</v>
      </c>
      <c r="E34" s="7" t="e">
        <f t="shared" ca="1" si="10"/>
        <v>#NAME?</v>
      </c>
      <c r="F34" s="7" t="e">
        <f t="shared" ca="1" si="10"/>
        <v>#NAME?</v>
      </c>
    </row>
    <row r="35" spans="3:6" x14ac:dyDescent="0.25">
      <c r="C35" s="7" t="e">
        <f t="shared" ca="1" si="10"/>
        <v>#NAME?</v>
      </c>
      <c r="D35" s="7" t="e">
        <f t="shared" ca="1" si="10"/>
        <v>#NAME?</v>
      </c>
      <c r="E35" s="7" t="e">
        <f t="shared" ca="1" si="10"/>
        <v>#NAME?</v>
      </c>
      <c r="F35" s="7" t="e">
        <f t="shared" ca="1" si="10"/>
        <v>#NAME?</v>
      </c>
    </row>
    <row r="36" spans="3:6" x14ac:dyDescent="0.25">
      <c r="C36" s="7" t="e">
        <f t="shared" ca="1" si="10"/>
        <v>#NAME?</v>
      </c>
      <c r="D36" s="7" t="e">
        <f t="shared" ca="1" si="10"/>
        <v>#NAME?</v>
      </c>
      <c r="E36" s="7" t="e">
        <f t="shared" ca="1" si="10"/>
        <v>#NAME?</v>
      </c>
      <c r="F36" s="7" t="e">
        <f t="shared" ca="1" si="10"/>
        <v>#NAME?</v>
      </c>
    </row>
    <row r="37" spans="3:6" ht="21" x14ac:dyDescent="0.35">
      <c r="C37" s="9" t="e">
        <f ca="1">AVERAGE(C22:F36)</f>
        <v>#NAME?</v>
      </c>
      <c r="D37" s="9" t="e">
        <f ca="1">SQRT(VAR(C22:F36))</f>
        <v>#NAME?</v>
      </c>
    </row>
    <row r="38" spans="3:6" x14ac:dyDescent="0.25">
      <c r="C38" s="7"/>
    </row>
    <row r="39" spans="3:6" x14ac:dyDescent="0.25">
      <c r="C39" s="7"/>
    </row>
    <row r="40" spans="3:6" x14ac:dyDescent="0.25">
      <c r="C40" s="7"/>
    </row>
    <row r="41" spans="3:6" x14ac:dyDescent="0.25">
      <c r="C41" s="7"/>
    </row>
    <row r="42" spans="3:6" x14ac:dyDescent="0.25">
      <c r="C42" s="7"/>
    </row>
    <row r="43" spans="3:6" x14ac:dyDescent="0.25">
      <c r="C43" s="7"/>
    </row>
    <row r="44" spans="3:6" x14ac:dyDescent="0.25">
      <c r="C44" s="7"/>
    </row>
    <row r="45" spans="3:6" x14ac:dyDescent="0.25">
      <c r="C45" s="7"/>
    </row>
    <row r="62" spans="8:18" x14ac:dyDescent="0.25"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</row>
    <row r="63" spans="8:18" x14ac:dyDescent="0.25"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</row>
    <row r="64" spans="8:18" x14ac:dyDescent="0.25"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</row>
    <row r="65" spans="8:26" x14ac:dyDescent="0.25"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Z65">
        <v>10</v>
      </c>
    </row>
    <row r="66" spans="8:26" x14ac:dyDescent="0.25"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</row>
    <row r="67" spans="8:26" x14ac:dyDescent="0.25"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</row>
    <row r="68" spans="8:26" x14ac:dyDescent="0.25"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</row>
    <row r="69" spans="8:26" x14ac:dyDescent="0.25"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</row>
    <row r="70" spans="8:26" x14ac:dyDescent="0.25"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</row>
    <row r="71" spans="8:26" x14ac:dyDescent="0.25"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</row>
    <row r="72" spans="8:26" x14ac:dyDescent="0.25"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</row>
    <row r="73" spans="8:26" x14ac:dyDescent="0.25"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</row>
    <row r="74" spans="8:26" x14ac:dyDescent="0.25"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</row>
    <row r="75" spans="8:26" x14ac:dyDescent="0.25"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</row>
    <row r="76" spans="8:26" x14ac:dyDescent="0.25"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9" tint="0.39997558519241921"/>
  </sheetPr>
  <dimension ref="A1:AW185"/>
  <sheetViews>
    <sheetView topLeftCell="G1" zoomScale="69" zoomScaleNormal="69" workbookViewId="0">
      <selection activeCell="S6" sqref="S6"/>
    </sheetView>
  </sheetViews>
  <sheetFormatPr defaultRowHeight="15" x14ac:dyDescent="0.25"/>
  <cols>
    <col min="3" max="3" width="14.42578125" style="16" bestFit="1" customWidth="1"/>
    <col min="4" max="4" width="14.42578125" style="16" customWidth="1"/>
    <col min="5" max="8" width="12.140625" bestFit="1" customWidth="1"/>
    <col min="9" max="11" width="12.140625" style="17" bestFit="1" customWidth="1"/>
    <col min="12" max="12" width="13.140625" style="17" bestFit="1" customWidth="1"/>
    <col min="13" max="15" width="9.140625" style="17"/>
    <col min="21" max="21" width="9.140625" style="20"/>
    <col min="22" max="22" width="9.140625" customWidth="1"/>
    <col min="23" max="29" width="9.140625" style="19" customWidth="1"/>
    <col min="30" max="30" width="9.140625" style="20" customWidth="1"/>
    <col min="31" max="31" width="9.140625" customWidth="1"/>
    <col min="32" max="38" width="9.140625" style="19" customWidth="1"/>
    <col min="39" max="39" width="9.140625" style="20" customWidth="1"/>
    <col min="40" max="42" width="12.28515625" bestFit="1" customWidth="1"/>
    <col min="44" max="44" width="12.5703125" style="17" bestFit="1" customWidth="1"/>
    <col min="45" max="45" width="12.28515625" style="17" bestFit="1" customWidth="1"/>
    <col min="46" max="46" width="9.140625" style="17"/>
    <col min="47" max="47" width="12.5703125" style="17" bestFit="1" customWidth="1"/>
    <col min="48" max="49" width="9.140625" style="17"/>
  </cols>
  <sheetData>
    <row r="1" spans="1:48" x14ac:dyDescent="0.25">
      <c r="A1" s="17"/>
      <c r="B1" s="17"/>
      <c r="E1" s="17"/>
      <c r="F1" s="17"/>
      <c r="G1" s="17"/>
      <c r="H1" s="17"/>
      <c r="P1" s="17"/>
      <c r="Q1" s="14">
        <v>2</v>
      </c>
      <c r="R1" s="17">
        <v>99000</v>
      </c>
      <c r="S1" s="17"/>
      <c r="T1" s="17" t="s">
        <v>9</v>
      </c>
      <c r="V1" s="17" t="s">
        <v>10</v>
      </c>
      <c r="AE1" s="17" t="s">
        <v>11</v>
      </c>
      <c r="AN1" s="17"/>
      <c r="AO1" s="17" t="s">
        <v>12</v>
      </c>
      <c r="AP1" s="17" t="s">
        <v>13</v>
      </c>
      <c r="AQ1" s="17"/>
    </row>
    <row r="2" spans="1:48" x14ac:dyDescent="0.25">
      <c r="A2" s="17"/>
      <c r="B2" s="17"/>
      <c r="E2" s="17"/>
      <c r="F2" s="17"/>
      <c r="G2" s="17"/>
      <c r="H2" s="17"/>
      <c r="K2" s="17">
        <v>5</v>
      </c>
      <c r="P2" s="17"/>
      <c r="Q2" s="14">
        <v>18000</v>
      </c>
      <c r="R2" s="17"/>
      <c r="S2" s="17"/>
      <c r="T2" s="14">
        <v>283.14999999999998</v>
      </c>
      <c r="U2" s="14"/>
      <c r="V2" s="17">
        <v>512</v>
      </c>
      <c r="AE2" s="17">
        <v>1.31</v>
      </c>
      <c r="AN2" s="17"/>
      <c r="AO2" s="14">
        <v>0.8</v>
      </c>
      <c r="AP2" s="20">
        <v>0.69799999999999995</v>
      </c>
      <c r="AQ2" s="17"/>
    </row>
    <row r="3" spans="1:48" s="19" customFormat="1" ht="15.75" thickBot="1" x14ac:dyDescent="0.3">
      <c r="C3" s="16"/>
      <c r="D3" s="16"/>
      <c r="U3" s="20">
        <f t="shared" ref="U3:AC3" si="0">D4</f>
        <v>5</v>
      </c>
      <c r="V3" s="19">
        <f t="shared" si="0"/>
        <v>6</v>
      </c>
      <c r="W3" s="20">
        <f t="shared" si="0"/>
        <v>7</v>
      </c>
      <c r="X3" s="20">
        <f t="shared" si="0"/>
        <v>8</v>
      </c>
      <c r="Y3" s="20">
        <f t="shared" si="0"/>
        <v>9</v>
      </c>
      <c r="Z3" s="20">
        <f t="shared" si="0"/>
        <v>10</v>
      </c>
      <c r="AA3" s="20">
        <f t="shared" si="0"/>
        <v>11</v>
      </c>
      <c r="AB3" s="20">
        <f t="shared" si="0"/>
        <v>8</v>
      </c>
      <c r="AC3" s="20">
        <f t="shared" si="0"/>
        <v>5.5</v>
      </c>
      <c r="AD3" s="20">
        <f t="shared" ref="AD3:AK3" si="1">U3</f>
        <v>5</v>
      </c>
      <c r="AE3" s="19">
        <f t="shared" si="1"/>
        <v>6</v>
      </c>
      <c r="AF3" s="20">
        <f t="shared" si="1"/>
        <v>7</v>
      </c>
      <c r="AG3" s="20">
        <f t="shared" si="1"/>
        <v>8</v>
      </c>
      <c r="AH3" s="20">
        <f t="shared" si="1"/>
        <v>9</v>
      </c>
      <c r="AI3" s="20">
        <f t="shared" si="1"/>
        <v>10</v>
      </c>
      <c r="AJ3" s="20">
        <f t="shared" si="1"/>
        <v>11</v>
      </c>
      <c r="AK3" s="20">
        <f t="shared" si="1"/>
        <v>8</v>
      </c>
      <c r="AL3" s="20">
        <f>AC3</f>
        <v>5.5</v>
      </c>
      <c r="AM3" s="20"/>
    </row>
    <row r="4" spans="1:48" ht="15.75" thickBot="1" x14ac:dyDescent="0.3">
      <c r="A4" s="17"/>
      <c r="B4" s="20" t="s">
        <v>0</v>
      </c>
      <c r="D4" s="24">
        <v>5</v>
      </c>
      <c r="E4" s="24">
        <v>6</v>
      </c>
      <c r="F4" s="24">
        <v>7</v>
      </c>
      <c r="G4" s="24">
        <v>8</v>
      </c>
      <c r="H4" s="24">
        <v>9</v>
      </c>
      <c r="I4" s="24">
        <v>10</v>
      </c>
      <c r="J4" s="24">
        <v>11</v>
      </c>
      <c r="K4" s="24">
        <v>8</v>
      </c>
      <c r="L4" s="24">
        <v>5.5</v>
      </c>
      <c r="P4" s="17"/>
      <c r="Q4" s="17"/>
      <c r="R4" s="17"/>
      <c r="S4" s="17" t="s">
        <v>6</v>
      </c>
      <c r="T4" s="17" t="s">
        <v>5</v>
      </c>
      <c r="V4" s="42" t="s">
        <v>7</v>
      </c>
      <c r="W4" s="43"/>
      <c r="X4" s="43"/>
      <c r="Y4" s="43"/>
      <c r="Z4" s="43"/>
      <c r="AA4" s="43"/>
      <c r="AB4" s="43"/>
      <c r="AC4" s="44"/>
      <c r="AD4" s="25"/>
      <c r="AE4" s="42" t="s">
        <v>8</v>
      </c>
      <c r="AF4" s="43"/>
      <c r="AG4" s="43"/>
      <c r="AH4" s="43"/>
      <c r="AI4" s="43"/>
      <c r="AJ4" s="43"/>
      <c r="AK4" s="43"/>
      <c r="AL4" s="44"/>
      <c r="AM4" s="20" t="str">
        <f t="shared" ref="AM4:AU4" si="2">CONCATENATE(D4," _формула")</f>
        <v>5 _формула</v>
      </c>
      <c r="AN4" s="17" t="str">
        <f t="shared" si="2"/>
        <v>6 _формула</v>
      </c>
      <c r="AO4" s="17" t="str">
        <f t="shared" si="2"/>
        <v>7 _формула</v>
      </c>
      <c r="AP4" s="17" t="str">
        <f t="shared" si="2"/>
        <v>8 _формула</v>
      </c>
      <c r="AQ4" s="17" t="str">
        <f t="shared" si="2"/>
        <v>9 _формула</v>
      </c>
      <c r="AR4" s="17" t="str">
        <f t="shared" si="2"/>
        <v>10 _формула</v>
      </c>
      <c r="AS4" s="17" t="str">
        <f t="shared" si="2"/>
        <v>11 _формула</v>
      </c>
      <c r="AT4" s="17" t="str">
        <f t="shared" si="2"/>
        <v>8 _формула</v>
      </c>
      <c r="AU4" s="17" t="str">
        <f t="shared" si="2"/>
        <v>5.5 _формула</v>
      </c>
    </row>
    <row r="5" spans="1:48" s="20" customFormat="1" ht="15.75" thickBot="1" x14ac:dyDescent="0.3">
      <c r="C5" s="16"/>
      <c r="D5" s="14">
        <f>D4*10</f>
        <v>50</v>
      </c>
      <c r="E5" s="14">
        <f>E4*10</f>
        <v>60</v>
      </c>
      <c r="F5" s="14">
        <f t="shared" ref="F5:L5" si="3">F4*10</f>
        <v>70</v>
      </c>
      <c r="G5" s="14">
        <f t="shared" si="3"/>
        <v>80</v>
      </c>
      <c r="H5" s="14">
        <f t="shared" si="3"/>
        <v>90</v>
      </c>
      <c r="I5" s="14">
        <f t="shared" si="3"/>
        <v>100</v>
      </c>
      <c r="J5" s="14">
        <f t="shared" si="3"/>
        <v>110</v>
      </c>
      <c r="K5" s="14">
        <f t="shared" si="3"/>
        <v>80</v>
      </c>
      <c r="L5" s="14">
        <f t="shared" si="3"/>
        <v>55</v>
      </c>
      <c r="M5" s="20">
        <v>60</v>
      </c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</row>
    <row r="6" spans="1:48" ht="15.75" thickBot="1" x14ac:dyDescent="0.3">
      <c r="A6" s="33"/>
      <c r="B6" s="34">
        <v>1</v>
      </c>
      <c r="C6" s="35">
        <f>B6*1000000</f>
        <v>1000000</v>
      </c>
      <c r="D6" s="36">
        <f>AM6</f>
        <v>3.1554622372223008E-4</v>
      </c>
      <c r="E6" s="36">
        <f t="shared" ref="E6:L21" si="4">AN6</f>
        <v>3.7865546846667608E-4</v>
      </c>
      <c r="F6" s="36">
        <f t="shared" si="4"/>
        <v>4.4176471321112209E-4</v>
      </c>
      <c r="G6" s="36">
        <f t="shared" si="4"/>
        <v>5.0487395795556814E-4</v>
      </c>
      <c r="H6" s="36">
        <f t="shared" si="4"/>
        <v>5.679832027000142E-4</v>
      </c>
      <c r="I6" s="36">
        <f t="shared" si="4"/>
        <v>6.3109244744446015E-4</v>
      </c>
      <c r="J6" s="36">
        <f t="shared" si="4"/>
        <v>6.9420169218890621E-4</v>
      </c>
      <c r="K6" s="36">
        <v>80</v>
      </c>
      <c r="L6" s="36">
        <f t="shared" si="4"/>
        <v>3.4710084609445311E-4</v>
      </c>
      <c r="M6" s="17">
        <v>60</v>
      </c>
      <c r="P6" s="17"/>
      <c r="Q6" s="17"/>
      <c r="R6" s="17"/>
      <c r="S6" s="17">
        <f>B6*1000000/24/60/60</f>
        <v>11.574074074074074</v>
      </c>
      <c r="T6" s="17">
        <f>S6*$AP$2</f>
        <v>8.0787037037037042</v>
      </c>
      <c r="U6" s="20">
        <f>$R$1*1000*$AO$2*($AE$2-1)/$T6/D73/$V$2/$T$2/$AE$2</f>
        <v>16.002482933069903</v>
      </c>
      <c r="V6" s="17">
        <f>$R$1*1000*$AO$2*($AE$2-1)/$T6/E73/$V$2/$T$2/$AE$2</f>
        <v>16.002482933069903</v>
      </c>
      <c r="W6" s="20">
        <f>$R$1*1000*$AO$2*($AE$2-1)/$T6/F73/$V$2/$T$2/$AE$2</f>
        <v>16.002482933069903</v>
      </c>
      <c r="X6" s="19">
        <f t="shared" ref="X6" si="5">$R$1*1000*$AO$2*($AE$2-1)/$T6/G73/$V$2/$T$2/$AE$2</f>
        <v>16.002482933069903</v>
      </c>
      <c r="Y6" s="19">
        <f t="shared" ref="Y6" si="6">$R$1*1000*$AO$2*($AE$2-1)/$T6/H73/$V$2/$T$2/$AE$2</f>
        <v>16.002482933069903</v>
      </c>
      <c r="Z6" s="19">
        <f t="shared" ref="Z6" si="7">$R$1*1000*$AO$2*($AE$2-1)/$T6/I73/$V$2/$T$2/$AE$2</f>
        <v>16.002482933069903</v>
      </c>
      <c r="AA6" s="19">
        <f t="shared" ref="AA6" si="8">$R$1*1000*$AO$2*($AE$2-1)/$T6/J73/$V$2/$T$2/$AE$2</f>
        <v>16.002482933069903</v>
      </c>
      <c r="AB6" s="19">
        <f t="shared" ref="AB6" si="9">$R$1*1000*$AO$2*($AE$2-1)/$T6/K73/$V$2/$T$2/$AE$2</f>
        <v>16.002482933069903</v>
      </c>
      <c r="AC6" s="19">
        <f t="shared" ref="AC6" si="10">$R$1*1000*$AO$2*($AE$2-1)/$T6/L73/$V$2/$T$2/$AE$2</f>
        <v>16.002482933069903</v>
      </c>
      <c r="AD6" s="20">
        <f>POWER((U6+1),$AE$2/($AE$2-1))</f>
        <v>158455.39018085078</v>
      </c>
      <c r="AE6" s="17">
        <f t="shared" ref="AE6:AL6" si="11">POWER((V6+1),$AE$2/($AE$2-1))</f>
        <v>158455.39018085078</v>
      </c>
      <c r="AF6" s="19">
        <f t="shared" si="11"/>
        <v>158455.39018085078</v>
      </c>
      <c r="AG6" s="19">
        <f t="shared" si="11"/>
        <v>158455.39018085078</v>
      </c>
      <c r="AH6" s="19">
        <f t="shared" si="11"/>
        <v>158455.39018085078</v>
      </c>
      <c r="AI6" s="19">
        <f t="shared" si="11"/>
        <v>158455.39018085078</v>
      </c>
      <c r="AJ6" s="19">
        <f t="shared" si="11"/>
        <v>158455.39018085078</v>
      </c>
      <c r="AK6" s="19">
        <f t="shared" si="11"/>
        <v>158455.39018085078</v>
      </c>
      <c r="AL6" s="19">
        <f t="shared" si="11"/>
        <v>158455.39018085078</v>
      </c>
      <c r="AM6" s="18">
        <f>AD$3/AD6*10</f>
        <v>3.1554622372223008E-4</v>
      </c>
      <c r="AN6" s="18">
        <f t="shared" ref="AN6:AT6" si="12">AE$3/AE6*10</f>
        <v>3.7865546846667608E-4</v>
      </c>
      <c r="AO6" s="18">
        <f t="shared" si="12"/>
        <v>4.4176471321112209E-4</v>
      </c>
      <c r="AP6" s="18">
        <f t="shared" si="12"/>
        <v>5.0487395795556814E-4</v>
      </c>
      <c r="AQ6" s="18">
        <f t="shared" si="12"/>
        <v>5.679832027000142E-4</v>
      </c>
      <c r="AR6" s="18">
        <f t="shared" si="12"/>
        <v>6.3109244744446015E-4</v>
      </c>
      <c r="AS6" s="18">
        <f t="shared" si="12"/>
        <v>6.9420169218890621E-4</v>
      </c>
      <c r="AT6" s="18">
        <f t="shared" si="12"/>
        <v>5.0487395795556814E-4</v>
      </c>
      <c r="AU6" s="18">
        <f>AL$3/AL6*10</f>
        <v>3.4710084609445311E-4</v>
      </c>
      <c r="AV6" s="18"/>
    </row>
    <row r="7" spans="1:48" ht="15.75" thickBot="1" x14ac:dyDescent="0.3">
      <c r="A7" s="33"/>
      <c r="B7" s="34">
        <v>2</v>
      </c>
      <c r="C7" s="35">
        <f t="shared" ref="C7:C42" si="13">B7*1000000</f>
        <v>2000000</v>
      </c>
      <c r="D7" s="36">
        <f t="shared" ref="D7:E42" si="14">AM7</f>
        <v>4.6373684006890516E-3</v>
      </c>
      <c r="E7" s="36">
        <f t="shared" si="4"/>
        <v>5.5648392216900659E-3</v>
      </c>
      <c r="F7" s="36">
        <f t="shared" ref="F7:F42" si="15">AO7</f>
        <v>6.4923090896468966E-3</v>
      </c>
      <c r="G7" s="36">
        <f t="shared" ref="G7:G42" si="16">AP7</f>
        <v>7.4197780045602126E-3</v>
      </c>
      <c r="H7" s="36">
        <f t="shared" ref="H7:H42" si="17">AQ7</f>
        <v>8.3472459664305724E-3</v>
      </c>
      <c r="I7" s="36">
        <f t="shared" ref="I7:I42" si="18">AR7</f>
        <v>9.2747129752586491E-3</v>
      </c>
      <c r="J7" s="36">
        <f t="shared" ref="J7:J42" si="19">AS7</f>
        <v>1.0202179031045032E-2</v>
      </c>
      <c r="K7" s="36">
        <v>80</v>
      </c>
      <c r="L7" s="36">
        <f t="shared" ref="L7:L42" si="20">AU7</f>
        <v>5.1011039303201179E-3</v>
      </c>
      <c r="M7" s="20">
        <v>60</v>
      </c>
      <c r="P7" s="17"/>
      <c r="Q7" s="17"/>
      <c r="R7" s="17"/>
      <c r="S7" s="20">
        <f t="shared" ref="S7:S65" si="21">B7*1000000/24/60/60</f>
        <v>23.148148148148149</v>
      </c>
      <c r="T7" s="20">
        <f t="shared" ref="T7:T65" si="22">S7*$AP$2</f>
        <v>16.157407407407408</v>
      </c>
      <c r="U7" s="20">
        <f t="shared" ref="U7:W7" si="23">$R$1*1000*$AO$2*($AE$2-1)/$T7/D74/$V$2/$T$2/$AE$2</f>
        <v>8.0012469385217937</v>
      </c>
      <c r="V7" s="20">
        <f t="shared" si="23"/>
        <v>8.0012480329198272</v>
      </c>
      <c r="W7" s="20">
        <f t="shared" si="23"/>
        <v>8.0012491273180846</v>
      </c>
      <c r="X7" s="20">
        <f t="shared" ref="X7:X65" si="24">$R$1*1000*$AO$2*($AE$2-1)/$T7/G74/$V$2/$T$2/$AE$2</f>
        <v>8.0012502217165622</v>
      </c>
      <c r="Y7" s="20">
        <f t="shared" ref="Y7:Y65" si="25">$R$1*1000*$AO$2*($AE$2-1)/$T7/H74/$V$2/$T$2/$AE$2</f>
        <v>8.0012513161152672</v>
      </c>
      <c r="Z7" s="20">
        <f t="shared" ref="Z7:Z65" si="26">$R$1*1000*$AO$2*($AE$2-1)/$T7/I74/$V$2/$T$2/$AE$2</f>
        <v>8.0012524105141889</v>
      </c>
      <c r="AA7" s="20">
        <f t="shared" ref="AA7:AA65" si="27">$R$1*1000*$AO$2*($AE$2-1)/$T7/J74/$V$2/$T$2/$AE$2</f>
        <v>8.0012535049133344</v>
      </c>
      <c r="AB7" s="20">
        <f t="shared" ref="AB7:AB65" si="28">$R$1*1000*$AO$2*($AE$2-1)/$T7/K74/$V$2/$T$2/$AE$2</f>
        <v>9.4616193221726306</v>
      </c>
      <c r="AC7" s="20">
        <f t="shared" ref="AC7:AC65" si="29">$R$1*1000*$AO$2*($AE$2-1)/$T7/L74/$V$2/$T$2/$AE$2</f>
        <v>8.001247485720782</v>
      </c>
      <c r="AD7" s="20">
        <f t="shared" ref="AD7:AD65" si="30">POWER((U7+1),$AE$2/($AE$2-1))</f>
        <v>10781.977121457649</v>
      </c>
      <c r="AE7" s="20">
        <f t="shared" ref="AE7:AE65" si="31">POWER((V7+1),$AE$2/($AE$2-1))</f>
        <v>10781.98266108715</v>
      </c>
      <c r="AF7" s="20">
        <f t="shared" ref="AF7:AF65" si="32">POWER((W7+1),$AE$2/($AE$2-1))</f>
        <v>10781.988200719994</v>
      </c>
      <c r="AG7" s="20">
        <f t="shared" ref="AG7:AG65" si="33">POWER((X7+1),$AE$2/($AE$2-1))</f>
        <v>10781.993740356089</v>
      </c>
      <c r="AH7" s="20">
        <f t="shared" ref="AH7:AH65" si="34">POWER((Y7+1),$AE$2/($AE$2-1))</f>
        <v>10781.999279995527</v>
      </c>
      <c r="AI7" s="20">
        <f t="shared" ref="AI7:AI65" si="35">POWER((Z7+1),$AE$2/($AE$2-1))</f>
        <v>10782.004819638232</v>
      </c>
      <c r="AJ7" s="20">
        <f t="shared" ref="AJ7:AJ65" si="36">POWER((AA7+1),$AE$2/($AE$2-1))</f>
        <v>10782.010359284242</v>
      </c>
      <c r="AK7" s="20">
        <f t="shared" ref="AK7:AK65" si="37">POWER((AB7+1),$AE$2/($AE$2-1))</f>
        <v>20352.963979769567</v>
      </c>
      <c r="AL7" s="20">
        <f t="shared" ref="AL7:AL65" si="38">POWER((AC7+1),$AE$2/($AE$2-1))</f>
        <v>10781.979891271985</v>
      </c>
      <c r="AM7" s="18">
        <f t="shared" ref="AM7:AM65" si="39">AD$3/AD7*10</f>
        <v>4.6373684006890516E-3</v>
      </c>
      <c r="AN7" s="18">
        <f t="shared" ref="AN7:AN65" si="40">AE$3/AE7*10</f>
        <v>5.5648392216900659E-3</v>
      </c>
      <c r="AO7" s="18">
        <f t="shared" ref="AO7:AO65" si="41">AF$3/AF7*10</f>
        <v>6.4923090896468966E-3</v>
      </c>
      <c r="AP7" s="18">
        <f t="shared" ref="AP7:AP65" si="42">AG$3/AG7*10</f>
        <v>7.4197780045602126E-3</v>
      </c>
      <c r="AQ7" s="18">
        <f t="shared" ref="AQ7:AQ65" si="43">AH$3/AH7*10</f>
        <v>8.3472459664305724E-3</v>
      </c>
      <c r="AR7" s="18">
        <f t="shared" ref="AR7:AR65" si="44">AI$3/AI7*10</f>
        <v>9.2747129752586491E-3</v>
      </c>
      <c r="AS7" s="18">
        <f t="shared" ref="AS7:AS65" si="45">AJ$3/AJ7*10</f>
        <v>1.0202179031045032E-2</v>
      </c>
      <c r="AT7" s="18">
        <f t="shared" ref="AT7:AT65" si="46">AK$3/AK7*10</f>
        <v>3.9306314342971559E-3</v>
      </c>
      <c r="AU7" s="18">
        <f t="shared" ref="AU7:AU65" si="47">AL$3/AL7*10</f>
        <v>5.1011039303201179E-3</v>
      </c>
      <c r="AV7" s="18"/>
    </row>
    <row r="8" spans="1:48" s="22" customFormat="1" ht="15.75" thickBot="1" x14ac:dyDescent="0.3">
      <c r="A8" s="33"/>
      <c r="B8" s="34">
        <v>3</v>
      </c>
      <c r="C8" s="35">
        <f t="shared" si="13"/>
        <v>3000000</v>
      </c>
      <c r="D8" s="36">
        <f t="shared" si="14"/>
        <v>2.0472529943870985E-2</v>
      </c>
      <c r="E8" s="36">
        <f t="shared" si="4"/>
        <v>2.4566860194665641E-2</v>
      </c>
      <c r="F8" s="36">
        <f t="shared" si="15"/>
        <v>2.8661131867546492E-2</v>
      </c>
      <c r="G8" s="36">
        <f t="shared" si="16"/>
        <v>3.2755344963118993E-2</v>
      </c>
      <c r="H8" s="36">
        <f t="shared" si="17"/>
        <v>3.684949948198863E-2</v>
      </c>
      <c r="I8" s="36">
        <f t="shared" si="18"/>
        <v>4.0943595424760768E-2</v>
      </c>
      <c r="J8" s="36">
        <f t="shared" si="19"/>
        <v>4.503763279204101E-2</v>
      </c>
      <c r="K8" s="36">
        <v>80</v>
      </c>
      <c r="L8" s="36">
        <f t="shared" si="20"/>
        <v>2.2519702391545382E-2</v>
      </c>
      <c r="M8" s="20">
        <v>60</v>
      </c>
      <c r="S8" s="20">
        <f t="shared" si="21"/>
        <v>34.722222222222221</v>
      </c>
      <c r="T8" s="20">
        <f t="shared" si="22"/>
        <v>24.236111111111111</v>
      </c>
      <c r="U8" s="20">
        <f t="shared" ref="U8:W8" si="48">$R$1*1000*$AO$2*($AE$2-1)/$T8/D75/$V$2/$T$2/$AE$2</f>
        <v>5.3342145901104914</v>
      </c>
      <c r="V8" s="20">
        <f t="shared" si="48"/>
        <v>5.3342253126575114</v>
      </c>
      <c r="W8" s="20">
        <f t="shared" si="48"/>
        <v>5.3342360352255032</v>
      </c>
      <c r="X8" s="20">
        <f t="shared" si="24"/>
        <v>5.3342467578144657</v>
      </c>
      <c r="Y8" s="20">
        <f t="shared" si="25"/>
        <v>5.334257480424399</v>
      </c>
      <c r="Z8" s="20">
        <f t="shared" si="26"/>
        <v>5.334268203055303</v>
      </c>
      <c r="AA8" s="20">
        <f t="shared" si="27"/>
        <v>5.3342789257071752</v>
      </c>
      <c r="AB8" s="20">
        <f t="shared" si="28"/>
        <v>6.307746214781754</v>
      </c>
      <c r="AC8" s="20">
        <f t="shared" si="29"/>
        <v>5.3342199513813799</v>
      </c>
      <c r="AD8" s="20">
        <f t="shared" si="30"/>
        <v>2442.2970750114291</v>
      </c>
      <c r="AE8" s="20">
        <f t="shared" si="31"/>
        <v>2442.3145458786867</v>
      </c>
      <c r="AF8" s="20">
        <f t="shared" si="32"/>
        <v>2442.3320168755181</v>
      </c>
      <c r="AG8" s="20">
        <f t="shared" si="33"/>
        <v>2442.3494880019216</v>
      </c>
      <c r="AH8" s="20">
        <f t="shared" si="34"/>
        <v>2442.3669592578963</v>
      </c>
      <c r="AI8" s="20">
        <f t="shared" si="35"/>
        <v>2442.384430643448</v>
      </c>
      <c r="AJ8" s="20">
        <f t="shared" si="36"/>
        <v>2442.4019021585668</v>
      </c>
      <c r="AK8" s="20">
        <f t="shared" si="37"/>
        <v>4468.7051865102076</v>
      </c>
      <c r="AL8" s="20">
        <f t="shared" si="38"/>
        <v>2442.3058104288612</v>
      </c>
      <c r="AM8" s="18">
        <f t="shared" si="39"/>
        <v>2.0472529943870985E-2</v>
      </c>
      <c r="AN8" s="18">
        <f t="shared" si="40"/>
        <v>2.4566860194665641E-2</v>
      </c>
      <c r="AO8" s="18">
        <f t="shared" si="41"/>
        <v>2.8661131867546492E-2</v>
      </c>
      <c r="AP8" s="18">
        <f t="shared" si="42"/>
        <v>3.2755344963118993E-2</v>
      </c>
      <c r="AQ8" s="18">
        <f t="shared" si="43"/>
        <v>3.684949948198863E-2</v>
      </c>
      <c r="AR8" s="18">
        <f t="shared" si="44"/>
        <v>4.0943595424760768E-2</v>
      </c>
      <c r="AS8" s="18">
        <f t="shared" si="45"/>
        <v>4.503763279204101E-2</v>
      </c>
      <c r="AT8" s="18">
        <f t="shared" si="46"/>
        <v>1.7902277429600415E-2</v>
      </c>
      <c r="AU8" s="18">
        <f t="shared" si="47"/>
        <v>2.2519702391545382E-2</v>
      </c>
      <c r="AV8" s="23"/>
    </row>
    <row r="9" spans="1:48" ht="15.75" thickBot="1" x14ac:dyDescent="0.3">
      <c r="A9" s="33"/>
      <c r="B9" s="34">
        <v>4</v>
      </c>
      <c r="C9" s="35">
        <f t="shared" si="13"/>
        <v>4000000</v>
      </c>
      <c r="D9" s="36">
        <f t="shared" si="14"/>
        <v>5.5585955753647769E-2</v>
      </c>
      <c r="E9" s="36">
        <f t="shared" si="4"/>
        <v>6.6701145777135887E-2</v>
      </c>
      <c r="F9" s="36">
        <f t="shared" si="15"/>
        <v>7.7815668847486294E-2</v>
      </c>
      <c r="G9" s="36">
        <f t="shared" si="16"/>
        <v>8.8929525002957421E-2</v>
      </c>
      <c r="H9" s="36">
        <f t="shared" si="17"/>
        <v>0.10004271428180683</v>
      </c>
      <c r="I9" s="36">
        <f t="shared" si="18"/>
        <v>0.11115523672229088</v>
      </c>
      <c r="J9" s="36">
        <f t="shared" si="19"/>
        <v>0.12226709236266452</v>
      </c>
      <c r="K9" s="36">
        <v>80</v>
      </c>
      <c r="L9" s="36">
        <f t="shared" si="20"/>
        <v>6.1143634136925307E-2</v>
      </c>
      <c r="M9" s="20">
        <v>60</v>
      </c>
      <c r="P9" s="17"/>
      <c r="Q9" s="17"/>
      <c r="R9" s="17"/>
      <c r="S9" s="20">
        <f t="shared" si="21"/>
        <v>46.296296296296298</v>
      </c>
      <c r="T9" s="20">
        <f t="shared" si="22"/>
        <v>32.314814814814817</v>
      </c>
      <c r="U9" s="20">
        <f t="shared" ref="U9:W9" si="49">$R$1*1000*$AO$2*($AE$2-1)/$T9/D76/$V$2/$T$2/$AE$2</f>
        <v>4.0007982493298542</v>
      </c>
      <c r="V9" s="20">
        <f t="shared" si="49"/>
        <v>4.0008337524211228</v>
      </c>
      <c r="W9" s="20">
        <f t="shared" si="49"/>
        <v>4.0008692554719163</v>
      </c>
      <c r="X9" s="20">
        <f t="shared" si="24"/>
        <v>4.0009047584822044</v>
      </c>
      <c r="Y9" s="20">
        <f t="shared" si="25"/>
        <v>4.0009402614519569</v>
      </c>
      <c r="Z9" s="20">
        <f t="shared" si="26"/>
        <v>4.0009757643811419</v>
      </c>
      <c r="AA9" s="20">
        <f t="shared" si="27"/>
        <v>4.0010112672697309</v>
      </c>
      <c r="AB9" s="20">
        <f t="shared" si="28"/>
        <v>4.7308096610863153</v>
      </c>
      <c r="AC9" s="20">
        <f t="shared" si="29"/>
        <v>4.0008160008805458</v>
      </c>
      <c r="AD9" s="20">
        <f t="shared" si="30"/>
        <v>899.50778613208968</v>
      </c>
      <c r="AE9" s="20">
        <f t="shared" si="31"/>
        <v>899.53477261806006</v>
      </c>
      <c r="AF9" s="20">
        <f t="shared" si="32"/>
        <v>899.56175969129686</v>
      </c>
      <c r="AG9" s="20">
        <f t="shared" si="33"/>
        <v>899.58874735178836</v>
      </c>
      <c r="AH9" s="20">
        <f t="shared" si="34"/>
        <v>899.61573559951739</v>
      </c>
      <c r="AI9" s="20">
        <f t="shared" si="35"/>
        <v>899.64272443446805</v>
      </c>
      <c r="AJ9" s="20">
        <f t="shared" si="36"/>
        <v>899.66971385662566</v>
      </c>
      <c r="AK9" s="20">
        <f t="shared" si="37"/>
        <v>1599.830596776442</v>
      </c>
      <c r="AL9" s="20">
        <f t="shared" si="38"/>
        <v>899.52127930166489</v>
      </c>
      <c r="AM9" s="18">
        <f t="shared" si="39"/>
        <v>5.5585955753647769E-2</v>
      </c>
      <c r="AN9" s="18">
        <f t="shared" si="40"/>
        <v>6.6701145777135887E-2</v>
      </c>
      <c r="AO9" s="18">
        <f t="shared" si="41"/>
        <v>7.7815668847486294E-2</v>
      </c>
      <c r="AP9" s="18">
        <f t="shared" si="42"/>
        <v>8.8929525002957421E-2</v>
      </c>
      <c r="AQ9" s="18">
        <f t="shared" si="43"/>
        <v>0.10004271428180683</v>
      </c>
      <c r="AR9" s="18">
        <f t="shared" si="44"/>
        <v>0.11115523672229088</v>
      </c>
      <c r="AS9" s="18">
        <f t="shared" si="45"/>
        <v>0.12226709236266452</v>
      </c>
      <c r="AT9" s="18">
        <f t="shared" si="46"/>
        <v>5.0005294411292651E-2</v>
      </c>
      <c r="AU9" s="18">
        <f t="shared" si="47"/>
        <v>6.1143634136925307E-2</v>
      </c>
      <c r="AV9" s="21"/>
    </row>
    <row r="10" spans="1:48" ht="15.75" thickBot="1" x14ac:dyDescent="0.3">
      <c r="A10" s="33"/>
      <c r="B10" s="34">
        <v>5</v>
      </c>
      <c r="C10" s="35">
        <f t="shared" si="13"/>
        <v>5000000</v>
      </c>
      <c r="D10" s="36">
        <f t="shared" si="14"/>
        <v>0.11610573878455221</v>
      </c>
      <c r="E10" s="36">
        <f t="shared" si="4"/>
        <v>0.1393160789899964</v>
      </c>
      <c r="F10" s="36">
        <f t="shared" si="15"/>
        <v>0.16252281819384293</v>
      </c>
      <c r="G10" s="36">
        <f t="shared" si="16"/>
        <v>0.18572595704544886</v>
      </c>
      <c r="H10" s="36">
        <f t="shared" si="17"/>
        <v>0.20892549619408707</v>
      </c>
      <c r="I10" s="36">
        <f t="shared" si="18"/>
        <v>0.23212143628894716</v>
      </c>
      <c r="J10" s="36">
        <f t="shared" si="19"/>
        <v>0.25531377797913518</v>
      </c>
      <c r="K10" s="36">
        <v>80</v>
      </c>
      <c r="L10" s="36">
        <f t="shared" si="20"/>
        <v>0.12771135905306211</v>
      </c>
      <c r="M10" s="20">
        <v>60</v>
      </c>
      <c r="P10" s="17"/>
      <c r="Q10" s="17"/>
      <c r="R10" s="17"/>
      <c r="S10" s="20">
        <f t="shared" si="21"/>
        <v>57.870370370370367</v>
      </c>
      <c r="T10" s="20">
        <f t="shared" si="22"/>
        <v>40.393518518518512</v>
      </c>
      <c r="U10" s="20">
        <f t="shared" ref="U10:W10" si="50">$R$1*1000*$AO$2*($AE$2-1)/$T10/D77/$V$2/$T$2/$AE$2</f>
        <v>3.2008821943398522</v>
      </c>
      <c r="V10" s="20">
        <f t="shared" si="50"/>
        <v>3.2009593102718603</v>
      </c>
      <c r="W10" s="20">
        <f t="shared" si="50"/>
        <v>3.2010364243316771</v>
      </c>
      <c r="X10" s="20">
        <f t="shared" si="24"/>
        <v>3.2011135365188168</v>
      </c>
      <c r="Y10" s="20">
        <f t="shared" si="25"/>
        <v>3.2011906468327913</v>
      </c>
      <c r="Z10" s="20">
        <f t="shared" si="26"/>
        <v>3.2012677552731144</v>
      </c>
      <c r="AA10" s="20">
        <f t="shared" si="27"/>
        <v>3.2013448618392983</v>
      </c>
      <c r="AB10" s="20">
        <f t="shared" si="28"/>
        <v>3.7846477288690537</v>
      </c>
      <c r="AC10" s="20">
        <f t="shared" si="29"/>
        <v>3.20092075253985</v>
      </c>
      <c r="AD10" s="20">
        <f t="shared" si="30"/>
        <v>430.64193487266687</v>
      </c>
      <c r="AE10" s="20">
        <f t="shared" si="31"/>
        <v>430.67534225039674</v>
      </c>
      <c r="AF10" s="20">
        <f t="shared" si="32"/>
        <v>430.70875079528923</v>
      </c>
      <c r="AG10" s="20">
        <f t="shared" si="33"/>
        <v>430.74216050707042</v>
      </c>
      <c r="AH10" s="20">
        <f t="shared" si="34"/>
        <v>430.77557138546666</v>
      </c>
      <c r="AI10" s="20">
        <f t="shared" si="35"/>
        <v>430.80898343020323</v>
      </c>
      <c r="AJ10" s="20">
        <f t="shared" si="36"/>
        <v>430.84239664100483</v>
      </c>
      <c r="AK10" s="20">
        <f t="shared" si="37"/>
        <v>746.30161573753423</v>
      </c>
      <c r="AL10" s="20">
        <f t="shared" si="38"/>
        <v>430.65863841561929</v>
      </c>
      <c r="AM10" s="18">
        <f t="shared" si="39"/>
        <v>0.11610573878455221</v>
      </c>
      <c r="AN10" s="18">
        <f t="shared" si="40"/>
        <v>0.1393160789899964</v>
      </c>
      <c r="AO10" s="18">
        <f t="shared" si="41"/>
        <v>0.16252281819384293</v>
      </c>
      <c r="AP10" s="18">
        <f t="shared" si="42"/>
        <v>0.18572595704544886</v>
      </c>
      <c r="AQ10" s="18">
        <f t="shared" si="43"/>
        <v>0.20892549619408707</v>
      </c>
      <c r="AR10" s="18">
        <f t="shared" si="44"/>
        <v>0.23212143628894716</v>
      </c>
      <c r="AS10" s="18">
        <f t="shared" si="45"/>
        <v>0.25531377797913518</v>
      </c>
      <c r="AT10" s="18">
        <f t="shared" si="46"/>
        <v>0.10719526571162494</v>
      </c>
      <c r="AU10" s="18">
        <f t="shared" si="47"/>
        <v>0.12771135905306211</v>
      </c>
      <c r="AV10" s="18"/>
    </row>
    <row r="11" spans="1:48" ht="15.75" thickBot="1" x14ac:dyDescent="0.3">
      <c r="A11" s="33"/>
      <c r="B11" s="37">
        <v>7</v>
      </c>
      <c r="C11" s="35">
        <f t="shared" si="13"/>
        <v>7000000</v>
      </c>
      <c r="D11" s="36">
        <f t="shared" si="14"/>
        <v>0.32754657012187072</v>
      </c>
      <c r="E11" s="36">
        <f t="shared" si="4"/>
        <v>0.3929977481580893</v>
      </c>
      <c r="F11" s="36">
        <f t="shared" si="15"/>
        <v>0.45842956540333357</v>
      </c>
      <c r="G11" s="36">
        <f t="shared" si="16"/>
        <v>0.52384202951205139</v>
      </c>
      <c r="H11" s="36">
        <f t="shared" si="17"/>
        <v>0.58923514813625966</v>
      </c>
      <c r="I11" s="36">
        <f t="shared" si="18"/>
        <v>0.6546089289255399</v>
      </c>
      <c r="J11" s="36">
        <f t="shared" si="19"/>
        <v>0.71996337952704237</v>
      </c>
      <c r="K11" s="36">
        <v>80</v>
      </c>
      <c r="L11" s="36">
        <f t="shared" si="20"/>
        <v>0.36027457971735</v>
      </c>
      <c r="M11" s="20">
        <v>60</v>
      </c>
      <c r="O11" s="27"/>
      <c r="P11" s="27"/>
      <c r="Q11" s="17"/>
      <c r="R11" s="17"/>
      <c r="S11" s="20">
        <f t="shared" si="21"/>
        <v>81.018518518518519</v>
      </c>
      <c r="T11" s="20">
        <f t="shared" si="22"/>
        <v>56.550925925925924</v>
      </c>
      <c r="U11" s="20">
        <f t="shared" ref="U11:W11" si="51">$R$1*1000*$AO$2*($AE$2-1)/$T11/D78/$V$2/$T$2/$AE$2</f>
        <v>2.2866443622075874</v>
      </c>
      <c r="V11" s="20">
        <f t="shared" si="51"/>
        <v>2.286759408754599</v>
      </c>
      <c r="W11" s="20">
        <f t="shared" si="51"/>
        <v>2.2868744460269705</v>
      </c>
      <c r="X11" s="20">
        <f t="shared" si="24"/>
        <v>2.2869894740222572</v>
      </c>
      <c r="Y11" s="20">
        <f t="shared" si="25"/>
        <v>2.2871044927380133</v>
      </c>
      <c r="Z11" s="20">
        <f t="shared" si="26"/>
        <v>2.2872195021717943</v>
      </c>
      <c r="AA11" s="20">
        <f t="shared" si="27"/>
        <v>2.2873345023211571</v>
      </c>
      <c r="AB11" s="20">
        <f t="shared" si="28"/>
        <v>2.7033198063350374</v>
      </c>
      <c r="AC11" s="20">
        <f t="shared" si="29"/>
        <v>2.28670188664027</v>
      </c>
      <c r="AD11" s="20">
        <f t="shared" si="30"/>
        <v>152.65004906446259</v>
      </c>
      <c r="AE11" s="20">
        <f t="shared" si="31"/>
        <v>152.67263052068199</v>
      </c>
      <c r="AF11" s="20">
        <f t="shared" si="32"/>
        <v>152.6952127060411</v>
      </c>
      <c r="AG11" s="20">
        <f t="shared" si="33"/>
        <v>152.71779561964212</v>
      </c>
      <c r="AH11" s="20">
        <f t="shared" si="34"/>
        <v>152.74037926058622</v>
      </c>
      <c r="AI11" s="20">
        <f t="shared" si="35"/>
        <v>152.7629636279751</v>
      </c>
      <c r="AJ11" s="20">
        <f t="shared" si="36"/>
        <v>152.78554872091007</v>
      </c>
      <c r="AK11" s="20">
        <f t="shared" si="37"/>
        <v>252.78799011383464</v>
      </c>
      <c r="AL11" s="20">
        <f t="shared" si="38"/>
        <v>152.66133970137369</v>
      </c>
      <c r="AM11" s="18">
        <f t="shared" si="39"/>
        <v>0.32754657012187072</v>
      </c>
      <c r="AN11" s="18">
        <f t="shared" si="40"/>
        <v>0.3929977481580893</v>
      </c>
      <c r="AO11" s="18">
        <f t="shared" si="41"/>
        <v>0.45842956540333357</v>
      </c>
      <c r="AP11" s="18">
        <f t="shared" si="42"/>
        <v>0.52384202951205139</v>
      </c>
      <c r="AQ11" s="18">
        <f t="shared" si="43"/>
        <v>0.58923514813625966</v>
      </c>
      <c r="AR11" s="18">
        <f t="shared" si="44"/>
        <v>0.6546089289255399</v>
      </c>
      <c r="AS11" s="18">
        <f t="shared" si="45"/>
        <v>0.71996337952704237</v>
      </c>
      <c r="AT11" s="18">
        <f t="shared" si="46"/>
        <v>0.31647073092346939</v>
      </c>
      <c r="AU11" s="18">
        <f t="shared" si="47"/>
        <v>0.36027457971735</v>
      </c>
      <c r="AV11" s="18"/>
    </row>
    <row r="12" spans="1:48" ht="15.75" thickBot="1" x14ac:dyDescent="0.3">
      <c r="A12" s="33"/>
      <c r="B12" s="37">
        <v>10</v>
      </c>
      <c r="C12" s="35">
        <f t="shared" si="13"/>
        <v>10000000</v>
      </c>
      <c r="D12" s="36">
        <f t="shared" si="14"/>
        <v>0.87982370217192662</v>
      </c>
      <c r="E12" s="36">
        <f t="shared" si="4"/>
        <v>1.0553987570282497</v>
      </c>
      <c r="F12" s="36">
        <f t="shared" si="15"/>
        <v>1.2308441633882081</v>
      </c>
      <c r="G12" s="36">
        <f t="shared" si="16"/>
        <v>1.4061600268851797</v>
      </c>
      <c r="H12" s="36">
        <f t="shared" si="17"/>
        <v>1.5813464531057688</v>
      </c>
      <c r="I12" s="36">
        <f t="shared" si="18"/>
        <v>1.7564035475898097</v>
      </c>
      <c r="J12" s="36">
        <f t="shared" si="19"/>
        <v>1.9313314158304</v>
      </c>
      <c r="K12" s="36">
        <v>80</v>
      </c>
      <c r="L12" s="36">
        <f t="shared" si="20"/>
        <v>0.96762744226604647</v>
      </c>
      <c r="M12" s="20">
        <v>60</v>
      </c>
      <c r="O12" s="27"/>
      <c r="P12" s="27"/>
      <c r="Q12" s="17"/>
      <c r="R12" s="17"/>
      <c r="S12" s="20">
        <f t="shared" si="21"/>
        <v>115.74074074074073</v>
      </c>
      <c r="T12" s="20">
        <f t="shared" si="22"/>
        <v>80.787037037037024</v>
      </c>
      <c r="U12" s="20">
        <f t="shared" ref="U12:W12" si="52">$R$1*1000*$AO$2*($AE$2-1)/$T12/D79/$V$2/$T$2/$AE$2</f>
        <v>1.6013849084110918</v>
      </c>
      <c r="V12" s="20">
        <f t="shared" si="52"/>
        <v>1.6016121728967054</v>
      </c>
      <c r="W12" s="20">
        <f t="shared" si="52"/>
        <v>1.6018394177719399</v>
      </c>
      <c r="X12" s="20">
        <f t="shared" si="24"/>
        <v>1.6020666429944759</v>
      </c>
      <c r="Y12" s="20">
        <f t="shared" si="25"/>
        <v>1.602293848521972</v>
      </c>
      <c r="Z12" s="20">
        <f t="shared" si="26"/>
        <v>1.6025210343120662</v>
      </c>
      <c r="AA12" s="20">
        <f t="shared" si="27"/>
        <v>1.6027482003223736</v>
      </c>
      <c r="AB12" s="20">
        <f t="shared" si="28"/>
        <v>1.8923238644345268</v>
      </c>
      <c r="AC12" s="20">
        <f t="shared" si="29"/>
        <v>1.6014985431025524</v>
      </c>
      <c r="AD12" s="20">
        <f t="shared" si="30"/>
        <v>56.829566965029876</v>
      </c>
      <c r="AE12" s="20">
        <f t="shared" si="31"/>
        <v>56.850550183463966</v>
      </c>
      <c r="AF12" s="20">
        <f t="shared" si="32"/>
        <v>56.871537504234006</v>
      </c>
      <c r="AG12" s="20">
        <f t="shared" si="33"/>
        <v>56.892528923048673</v>
      </c>
      <c r="AH12" s="20">
        <f t="shared" si="34"/>
        <v>56.913524435609759</v>
      </c>
      <c r="AI12" s="20">
        <f t="shared" si="35"/>
        <v>56.934524037612569</v>
      </c>
      <c r="AJ12" s="20">
        <f t="shared" si="36"/>
        <v>56.955527724745323</v>
      </c>
      <c r="AK12" s="20">
        <f t="shared" si="37"/>
        <v>88.948824753865452</v>
      </c>
      <c r="AL12" s="20">
        <f t="shared" si="38"/>
        <v>56.840058061187044</v>
      </c>
      <c r="AM12" s="18">
        <f t="shared" si="39"/>
        <v>0.87982370217192662</v>
      </c>
      <c r="AN12" s="18">
        <f t="shared" si="40"/>
        <v>1.0553987570282497</v>
      </c>
      <c r="AO12" s="18">
        <f t="shared" si="41"/>
        <v>1.2308441633882081</v>
      </c>
      <c r="AP12" s="18">
        <f t="shared" si="42"/>
        <v>1.4061600268851797</v>
      </c>
      <c r="AQ12" s="18">
        <f t="shared" si="43"/>
        <v>1.5813464531057688</v>
      </c>
      <c r="AR12" s="18">
        <f t="shared" si="44"/>
        <v>1.7564035475898097</v>
      </c>
      <c r="AS12" s="18">
        <f t="shared" si="45"/>
        <v>1.9313314158304</v>
      </c>
      <c r="AT12" s="18">
        <f t="shared" si="46"/>
        <v>0.89939355827771561</v>
      </c>
      <c r="AU12" s="18">
        <f t="shared" si="47"/>
        <v>0.96762744226604647</v>
      </c>
      <c r="AV12" s="18"/>
    </row>
    <row r="13" spans="1:48" ht="15.75" thickBot="1" x14ac:dyDescent="0.3">
      <c r="A13" s="33"/>
      <c r="B13" s="37">
        <v>12</v>
      </c>
      <c r="C13" s="35">
        <f t="shared" si="13"/>
        <v>12000000</v>
      </c>
      <c r="D13" s="36">
        <f t="shared" si="14"/>
        <v>1.386139630078858</v>
      </c>
      <c r="E13" s="36">
        <f t="shared" si="4"/>
        <v>1.6618368238617434</v>
      </c>
      <c r="F13" s="36">
        <f t="shared" si="15"/>
        <v>1.9370261283140413</v>
      </c>
      <c r="G13" s="36">
        <f t="shared" si="16"/>
        <v>2.2117085512731958</v>
      </c>
      <c r="H13" s="36">
        <f t="shared" si="17"/>
        <v>2.4858850999061146</v>
      </c>
      <c r="I13" s="36">
        <f t="shared" si="18"/>
        <v>2.7595567807088268</v>
      </c>
      <c r="J13" s="36">
        <f t="shared" si="19"/>
        <v>3.0327245995061314</v>
      </c>
      <c r="K13" s="36">
        <v>80</v>
      </c>
      <c r="L13" s="36">
        <f t="shared" si="20"/>
        <v>1.5240517761526486</v>
      </c>
      <c r="M13" s="20">
        <v>60</v>
      </c>
      <c r="O13" s="27"/>
      <c r="P13" s="27"/>
      <c r="Q13" s="17"/>
      <c r="R13" s="17"/>
      <c r="S13" s="20">
        <f t="shared" si="21"/>
        <v>138.88888888888889</v>
      </c>
      <c r="T13" s="20">
        <f t="shared" si="22"/>
        <v>96.944444444444443</v>
      </c>
      <c r="U13" s="20">
        <f t="shared" ref="U13:W13" si="53">$R$1*1000*$AO$2*($AE$2-1)/$T13/D80/$V$2/$T$2/$AE$2</f>
        <v>1.3360867162824308</v>
      </c>
      <c r="V13" s="20">
        <f t="shared" si="53"/>
        <v>1.3365957394849444</v>
      </c>
      <c r="W13" s="20">
        <f t="shared" si="53"/>
        <v>1.3371046705140162</v>
      </c>
      <c r="X13" s="20">
        <f t="shared" si="24"/>
        <v>1.3376135086028218</v>
      </c>
      <c r="Y13" s="20">
        <f t="shared" si="25"/>
        <v>1.3381222529833321</v>
      </c>
      <c r="Z13" s="20">
        <f t="shared" si="26"/>
        <v>1.3386309028863161</v>
      </c>
      <c r="AA13" s="20">
        <f t="shared" si="27"/>
        <v>1.3391394575413442</v>
      </c>
      <c r="AB13" s="20">
        <f t="shared" si="28"/>
        <v>1.5769365536954385</v>
      </c>
      <c r="AC13" s="20">
        <f t="shared" si="29"/>
        <v>1.3363412393574881</v>
      </c>
      <c r="AD13" s="20">
        <f t="shared" si="30"/>
        <v>36.071402126462168</v>
      </c>
      <c r="AE13" s="20">
        <f t="shared" si="31"/>
        <v>36.104627806100233</v>
      </c>
      <c r="AF13" s="20">
        <f t="shared" si="32"/>
        <v>36.137870820011578</v>
      </c>
      <c r="AG13" s="20">
        <f t="shared" si="33"/>
        <v>36.171131116686723</v>
      </c>
      <c r="AH13" s="20">
        <f t="shared" si="34"/>
        <v>36.204408644389503</v>
      </c>
      <c r="AI13" s="20">
        <f t="shared" si="35"/>
        <v>36.237703351156902</v>
      </c>
      <c r="AJ13" s="20">
        <f t="shared" si="36"/>
        <v>36.271015184798884</v>
      </c>
      <c r="AK13" s="20">
        <f t="shared" si="37"/>
        <v>54.606554850642581</v>
      </c>
      <c r="AL13" s="20">
        <f t="shared" si="38"/>
        <v>36.088012796286527</v>
      </c>
      <c r="AM13" s="18">
        <f t="shared" si="39"/>
        <v>1.386139630078858</v>
      </c>
      <c r="AN13" s="18">
        <f t="shared" si="40"/>
        <v>1.6618368238617434</v>
      </c>
      <c r="AO13" s="18">
        <f t="shared" si="41"/>
        <v>1.9370261283140413</v>
      </c>
      <c r="AP13" s="18">
        <f t="shared" si="42"/>
        <v>2.2117085512731958</v>
      </c>
      <c r="AQ13" s="18">
        <f t="shared" si="43"/>
        <v>2.4858850999061146</v>
      </c>
      <c r="AR13" s="18">
        <f t="shared" si="44"/>
        <v>2.7595567807088268</v>
      </c>
      <c r="AS13" s="18">
        <f t="shared" si="45"/>
        <v>3.0327245995061314</v>
      </c>
      <c r="AT13" s="18">
        <f t="shared" si="46"/>
        <v>1.4650255856428307</v>
      </c>
      <c r="AU13" s="18">
        <f t="shared" si="47"/>
        <v>1.5240517761526486</v>
      </c>
      <c r="AV13" s="18"/>
    </row>
    <row r="14" spans="1:48" ht="15.75" thickBot="1" x14ac:dyDescent="0.3">
      <c r="A14" s="33"/>
      <c r="B14" s="37">
        <v>14</v>
      </c>
      <c r="C14" s="35">
        <f t="shared" si="13"/>
        <v>14000000</v>
      </c>
      <c r="D14" s="36">
        <f t="shared" si="14"/>
        <v>1.9822568985718905</v>
      </c>
      <c r="E14" s="36">
        <f t="shared" si="4"/>
        <v>2.3754969242583739</v>
      </c>
      <c r="F14" s="36">
        <f t="shared" si="15"/>
        <v>2.7676763946425345</v>
      </c>
      <c r="G14" s="36">
        <f t="shared" si="16"/>
        <v>3.158799530151124</v>
      </c>
      <c r="H14" s="36">
        <f t="shared" si="17"/>
        <v>3.5488705408350758</v>
      </c>
      <c r="I14" s="36">
        <f t="shared" si="18"/>
        <v>3.9378936263646307</v>
      </c>
      <c r="J14" s="36">
        <f t="shared" si="19"/>
        <v>4.3258729760245549</v>
      </c>
      <c r="K14" s="36">
        <v>80</v>
      </c>
      <c r="L14" s="36">
        <f t="shared" si="20"/>
        <v>2.1790097450097639</v>
      </c>
      <c r="M14" s="20">
        <v>60</v>
      </c>
      <c r="O14" s="27"/>
      <c r="P14" s="27"/>
      <c r="Q14" s="17"/>
      <c r="R14" s="17"/>
      <c r="S14" s="20">
        <f t="shared" si="21"/>
        <v>162.03703703703704</v>
      </c>
      <c r="T14" s="20">
        <f t="shared" si="22"/>
        <v>113.10185185185185</v>
      </c>
      <c r="U14" s="20">
        <f t="shared" ref="U14:W14" si="54">$R$1*1000*$AO$2*($AE$2-1)/$T14/D81/$V$2/$T$2/$AE$2</f>
        <v>1.1464760459707801</v>
      </c>
      <c r="V14" s="20">
        <f t="shared" si="54"/>
        <v>1.1471623652378744</v>
      </c>
      <c r="W14" s="20">
        <f t="shared" si="54"/>
        <v>1.1478480154751329</v>
      </c>
      <c r="X14" s="20">
        <f t="shared" si="24"/>
        <v>1.1485329943828708</v>
      </c>
      <c r="Y14" s="20">
        <f t="shared" si="25"/>
        <v>1.1492172996692591</v>
      </c>
      <c r="Z14" s="20">
        <f t="shared" si="26"/>
        <v>1.1499009290503828</v>
      </c>
      <c r="AA14" s="20">
        <f t="shared" si="27"/>
        <v>1.1505838802502972</v>
      </c>
      <c r="AB14" s="20">
        <f t="shared" si="28"/>
        <v>1.3516599031675187</v>
      </c>
      <c r="AC14" s="20">
        <f t="shared" si="29"/>
        <v>1.1468192890890212</v>
      </c>
      <c r="AD14" s="20">
        <f t="shared" si="30"/>
        <v>25.2237739901535</v>
      </c>
      <c r="AE14" s="20">
        <f t="shared" si="31"/>
        <v>25.257873157942267</v>
      </c>
      <c r="AF14" s="20">
        <f t="shared" si="32"/>
        <v>25.291974211833754</v>
      </c>
      <c r="AG14" s="20">
        <f t="shared" si="33"/>
        <v>25.326076959424082</v>
      </c>
      <c r="AH14" s="20">
        <f t="shared" si="34"/>
        <v>25.360181208194291</v>
      </c>
      <c r="AI14" s="20">
        <f t="shared" si="35"/>
        <v>25.394286765515709</v>
      </c>
      <c r="AJ14" s="20">
        <f t="shared" si="36"/>
        <v>25.428393438655515</v>
      </c>
      <c r="AK14" s="20">
        <f t="shared" si="37"/>
        <v>37.098540010828913</v>
      </c>
      <c r="AL14" s="20">
        <f t="shared" si="38"/>
        <v>25.240823326264451</v>
      </c>
      <c r="AM14" s="18">
        <f t="shared" si="39"/>
        <v>1.9822568985718905</v>
      </c>
      <c r="AN14" s="18">
        <f t="shared" si="40"/>
        <v>2.3754969242583739</v>
      </c>
      <c r="AO14" s="18">
        <f t="shared" si="41"/>
        <v>2.7676763946425345</v>
      </c>
      <c r="AP14" s="18">
        <f t="shared" si="42"/>
        <v>3.158799530151124</v>
      </c>
      <c r="AQ14" s="18">
        <f t="shared" si="43"/>
        <v>3.5488705408350758</v>
      </c>
      <c r="AR14" s="18">
        <f t="shared" si="44"/>
        <v>3.9378936263646307</v>
      </c>
      <c r="AS14" s="18">
        <f t="shared" si="45"/>
        <v>4.3258729760245549</v>
      </c>
      <c r="AT14" s="18">
        <f t="shared" si="46"/>
        <v>2.1564190929521305</v>
      </c>
      <c r="AU14" s="18">
        <f t="shared" si="47"/>
        <v>2.1790097450097639</v>
      </c>
      <c r="AV14" s="18"/>
    </row>
    <row r="15" spans="1:48" s="22" customFormat="1" ht="15.75" thickBot="1" x14ac:dyDescent="0.3">
      <c r="A15" s="33"/>
      <c r="B15" s="37">
        <v>16</v>
      </c>
      <c r="C15" s="35">
        <f t="shared" si="13"/>
        <v>16000000</v>
      </c>
      <c r="D15" s="36">
        <f t="shared" si="14"/>
        <v>2.6471726994916462</v>
      </c>
      <c r="E15" s="36">
        <f t="shared" si="4"/>
        <v>3.1708655050182681</v>
      </c>
      <c r="F15" s="36">
        <f t="shared" si="15"/>
        <v>3.692669194591427</v>
      </c>
      <c r="G15" s="36">
        <f t="shared" si="16"/>
        <v>4.2125943033249298</v>
      </c>
      <c r="H15" s="36">
        <f t="shared" si="17"/>
        <v>4.7306513207199323</v>
      </c>
      <c r="I15" s="36">
        <f t="shared" si="18"/>
        <v>5.2468506907516144</v>
      </c>
      <c r="J15" s="36">
        <f t="shared" si="19"/>
        <v>5.7612028119570544</v>
      </c>
      <c r="K15" s="36">
        <v>80</v>
      </c>
      <c r="L15" s="36">
        <f t="shared" si="20"/>
        <v>2.9092559019778479</v>
      </c>
      <c r="M15" s="20">
        <v>60</v>
      </c>
      <c r="O15" s="27"/>
      <c r="P15" s="27"/>
      <c r="S15" s="20">
        <f t="shared" si="21"/>
        <v>185.18518518518519</v>
      </c>
      <c r="T15" s="20">
        <f t="shared" si="22"/>
        <v>129.25925925925927</v>
      </c>
      <c r="U15" s="20">
        <f t="shared" ref="U15:W15" si="55">$R$1*1000*$AO$2*($AE$2-1)/$T15/D82/$V$2/$T$2/$AE$2</f>
        <v>1.0044656714659359</v>
      </c>
      <c r="V15" s="20">
        <f t="shared" si="55"/>
        <v>1.0053240015908331</v>
      </c>
      <c r="W15" s="20">
        <f t="shared" si="55"/>
        <v>1.0061810680872878</v>
      </c>
      <c r="X15" s="20">
        <f t="shared" si="24"/>
        <v>1.0070368676729342</v>
      </c>
      <c r="Y15" s="20">
        <f t="shared" si="25"/>
        <v>1.007891397094256</v>
      </c>
      <c r="Z15" s="20">
        <f t="shared" si="26"/>
        <v>1.0087446531265847</v>
      </c>
      <c r="AA15" s="20">
        <f t="shared" si="27"/>
        <v>1.0095966325740946</v>
      </c>
      <c r="AB15" s="20">
        <f t="shared" si="28"/>
        <v>1.1827024152715788</v>
      </c>
      <c r="AC15" s="20">
        <f t="shared" si="29"/>
        <v>1.0048949942756649</v>
      </c>
      <c r="AD15" s="20">
        <f t="shared" si="30"/>
        <v>18.888076327472639</v>
      </c>
      <c r="AE15" s="20">
        <f t="shared" si="31"/>
        <v>18.922278445756508</v>
      </c>
      <c r="AF15" s="20">
        <f t="shared" si="32"/>
        <v>18.956477363996616</v>
      </c>
      <c r="AG15" s="20">
        <f t="shared" si="33"/>
        <v>18.99067278727917</v>
      </c>
      <c r="AH15" s="20">
        <f t="shared" si="34"/>
        <v>19.024864421058915</v>
      </c>
      <c r="AI15" s="20">
        <f t="shared" si="35"/>
        <v>19.059051971169193</v>
      </c>
      <c r="AJ15" s="20">
        <f t="shared" si="36"/>
        <v>19.093235143831624</v>
      </c>
      <c r="AK15" s="20">
        <f t="shared" si="37"/>
        <v>27.072307092418793</v>
      </c>
      <c r="AL15" s="20">
        <f t="shared" si="38"/>
        <v>18.90517776817379</v>
      </c>
      <c r="AM15" s="18">
        <f t="shared" si="39"/>
        <v>2.6471726994916462</v>
      </c>
      <c r="AN15" s="18">
        <f t="shared" si="40"/>
        <v>3.1708655050182681</v>
      </c>
      <c r="AO15" s="18">
        <f t="shared" si="41"/>
        <v>3.692669194591427</v>
      </c>
      <c r="AP15" s="18">
        <f t="shared" si="42"/>
        <v>4.2125943033249298</v>
      </c>
      <c r="AQ15" s="18">
        <f t="shared" si="43"/>
        <v>4.7306513207199323</v>
      </c>
      <c r="AR15" s="18">
        <f t="shared" si="44"/>
        <v>5.2468506907516144</v>
      </c>
      <c r="AS15" s="18">
        <f t="shared" si="45"/>
        <v>5.7612028119570544</v>
      </c>
      <c r="AT15" s="18">
        <f t="shared" si="46"/>
        <v>2.9550492215863948</v>
      </c>
      <c r="AU15" s="18">
        <f t="shared" si="47"/>
        <v>2.9092559019778479</v>
      </c>
      <c r="AV15" s="23"/>
    </row>
    <row r="16" spans="1:48" ht="15.75" thickBot="1" x14ac:dyDescent="0.3">
      <c r="A16" s="33"/>
      <c r="B16" s="37">
        <v>18</v>
      </c>
      <c r="C16" s="35">
        <f t="shared" si="13"/>
        <v>18000000</v>
      </c>
      <c r="D16" s="36">
        <f t="shared" si="14"/>
        <v>3.3625717492591201</v>
      </c>
      <c r="E16" s="36">
        <f t="shared" si="4"/>
        <v>4.0259313183976895</v>
      </c>
      <c r="F16" s="36">
        <f t="shared" si="15"/>
        <v>4.686290461605453</v>
      </c>
      <c r="G16" s="36">
        <f t="shared" si="16"/>
        <v>5.343670861389108</v>
      </c>
      <c r="H16" s="36">
        <f t="shared" si="17"/>
        <v>5.9980940777336365</v>
      </c>
      <c r="I16" s="36">
        <f t="shared" si="18"/>
        <v>6.6495815485087597</v>
      </c>
      <c r="J16" s="36">
        <f t="shared" si="19"/>
        <v>7.298154589879279</v>
      </c>
      <c r="K16" s="36">
        <v>80</v>
      </c>
      <c r="L16" s="36">
        <f t="shared" si="20"/>
        <v>3.6946279470234566</v>
      </c>
      <c r="M16" s="20">
        <v>60</v>
      </c>
      <c r="O16" s="27"/>
      <c r="P16" s="27"/>
      <c r="Q16" s="17"/>
      <c r="R16" s="17"/>
      <c r="S16" s="20">
        <f t="shared" si="21"/>
        <v>208.33333333333334</v>
      </c>
      <c r="T16" s="20">
        <f t="shared" si="22"/>
        <v>145.41666666666666</v>
      </c>
      <c r="U16" s="20">
        <f t="shared" ref="U16:W16" si="56">$R$1*1000*$AO$2*($AE$2-1)/$T16/D83/$V$2/$T$2/$AE$2</f>
        <v>0.89414898541749477</v>
      </c>
      <c r="V16" s="20">
        <f t="shared" si="56"/>
        <v>0.89516736462735225</v>
      </c>
      <c r="W16" s="20">
        <f t="shared" si="56"/>
        <v>0.89618371225321247</v>
      </c>
      <c r="X16" s="20">
        <f t="shared" si="24"/>
        <v>0.89719802231069823</v>
      </c>
      <c r="Y16" s="20">
        <f t="shared" si="25"/>
        <v>0.89821028888025667</v>
      </c>
      <c r="Z16" s="20">
        <f t="shared" si="26"/>
        <v>0.89922050610702386</v>
      </c>
      <c r="AA16" s="20">
        <f t="shared" si="27"/>
        <v>0.90022866820068415</v>
      </c>
      <c r="AB16" s="20">
        <f t="shared" si="28"/>
        <v>1.0512910357969594</v>
      </c>
      <c r="AC16" s="20">
        <f t="shared" si="29"/>
        <v>0.8946584285938638</v>
      </c>
      <c r="AD16" s="20">
        <f t="shared" si="30"/>
        <v>14.869571187891104</v>
      </c>
      <c r="AE16" s="20">
        <f t="shared" si="31"/>
        <v>14.903383901710436</v>
      </c>
      <c r="AF16" s="20">
        <f t="shared" si="32"/>
        <v>14.937187648419695</v>
      </c>
      <c r="AG16" s="20">
        <f t="shared" si="33"/>
        <v>14.970981947642578</v>
      </c>
      <c r="AH16" s="20">
        <f t="shared" si="34"/>
        <v>15.00476631970505</v>
      </c>
      <c r="AI16" s="20">
        <f t="shared" si="35"/>
        <v>15.038540285655431</v>
      </c>
      <c r="AJ16" s="20">
        <f t="shared" si="36"/>
        <v>15.072303367284462</v>
      </c>
      <c r="AK16" s="20">
        <f t="shared" si="37"/>
        <v>20.824131710981447</v>
      </c>
      <c r="AL16" s="20">
        <f t="shared" si="38"/>
        <v>14.886478635639145</v>
      </c>
      <c r="AM16" s="18">
        <f t="shared" si="39"/>
        <v>3.3625717492591201</v>
      </c>
      <c r="AN16" s="18">
        <f t="shared" si="40"/>
        <v>4.0259313183976895</v>
      </c>
      <c r="AO16" s="18">
        <f t="shared" si="41"/>
        <v>4.686290461605453</v>
      </c>
      <c r="AP16" s="18">
        <f t="shared" si="42"/>
        <v>5.343670861389108</v>
      </c>
      <c r="AQ16" s="18">
        <f t="shared" si="43"/>
        <v>5.9980940777336365</v>
      </c>
      <c r="AR16" s="18">
        <f t="shared" si="44"/>
        <v>6.6495815485087597</v>
      </c>
      <c r="AS16" s="18">
        <f t="shared" si="45"/>
        <v>7.298154589879279</v>
      </c>
      <c r="AT16" s="18">
        <f t="shared" si="46"/>
        <v>3.8416967924675878</v>
      </c>
      <c r="AU16" s="18">
        <f t="shared" si="47"/>
        <v>3.6946279470234566</v>
      </c>
      <c r="AV16" s="21"/>
    </row>
    <row r="17" spans="1:48" ht="15.75" thickBot="1" x14ac:dyDescent="0.3">
      <c r="A17" s="33"/>
      <c r="B17" s="37">
        <v>20</v>
      </c>
      <c r="C17" s="35">
        <f t="shared" si="13"/>
        <v>20000000</v>
      </c>
      <c r="D17" s="36">
        <f t="shared" si="14"/>
        <v>4.1128625957597382</v>
      </c>
      <c r="E17" s="36">
        <f t="shared" si="4"/>
        <v>4.9220177588324443</v>
      </c>
      <c r="F17" s="36">
        <f t="shared" si="15"/>
        <v>5.7267921000663531</v>
      </c>
      <c r="G17" s="36">
        <f t="shared" si="16"/>
        <v>6.5272243592984038</v>
      </c>
      <c r="H17" s="36">
        <f t="shared" si="17"/>
        <v>7.3233530130161331</v>
      </c>
      <c r="I17" s="36">
        <f t="shared" si="18"/>
        <v>8.1152162753684731</v>
      </c>
      <c r="J17" s="36">
        <f t="shared" si="19"/>
        <v>8.9028520991915379</v>
      </c>
      <c r="K17" s="36">
        <v>80</v>
      </c>
      <c r="L17" s="36">
        <f t="shared" si="20"/>
        <v>4.5179902115801571</v>
      </c>
      <c r="M17" s="20">
        <v>60</v>
      </c>
      <c r="O17" s="27"/>
      <c r="P17" s="27"/>
      <c r="Q17" s="17"/>
      <c r="R17" s="17"/>
      <c r="S17" s="20">
        <f t="shared" si="21"/>
        <v>231.48148148148147</v>
      </c>
      <c r="T17" s="20">
        <f t="shared" si="22"/>
        <v>161.57407407407405</v>
      </c>
      <c r="U17" s="20">
        <f t="shared" ref="U17:W17" si="57">$R$1*1000*$AO$2*($AE$2-1)/$T17/D84/$V$2/$T$2/$AE$2</f>
        <v>0.80598651489612017</v>
      </c>
      <c r="V17" s="20">
        <f t="shared" si="57"/>
        <v>0.80715031206327859</v>
      </c>
      <c r="W17" s="20">
        <f t="shared" si="57"/>
        <v>0.80831119218130343</v>
      </c>
      <c r="X17" s="20">
        <f t="shared" si="24"/>
        <v>0.8094691448647936</v>
      </c>
      <c r="Y17" s="20">
        <f t="shared" si="25"/>
        <v>0.81062415986814651</v>
      </c>
      <c r="Z17" s="20">
        <f t="shared" si="26"/>
        <v>0.81177622708508901</v>
      </c>
      <c r="AA17" s="20">
        <f t="shared" si="27"/>
        <v>0.81292533654819266</v>
      </c>
      <c r="AB17" s="20">
        <f t="shared" si="28"/>
        <v>0.94616193221726341</v>
      </c>
      <c r="AC17" s="20">
        <f t="shared" si="29"/>
        <v>0.80656877745628019</v>
      </c>
      <c r="AD17" s="20">
        <f t="shared" si="30"/>
        <v>12.156982840017262</v>
      </c>
      <c r="AE17" s="20">
        <f t="shared" si="31"/>
        <v>12.190122616345993</v>
      </c>
      <c r="AF17" s="20">
        <f t="shared" si="32"/>
        <v>12.223247985410357</v>
      </c>
      <c r="AG17" s="20">
        <f t="shared" si="33"/>
        <v>12.256358230744043</v>
      </c>
      <c r="AH17" s="20">
        <f t="shared" si="34"/>
        <v>12.289452637342329</v>
      </c>
      <c r="AI17" s="20">
        <f t="shared" si="35"/>
        <v>12.32253049170393</v>
      </c>
      <c r="AJ17" s="20">
        <f t="shared" si="36"/>
        <v>12.355591081872408</v>
      </c>
      <c r="AK17" s="20">
        <f t="shared" si="37"/>
        <v>16.673023837949092</v>
      </c>
      <c r="AL17" s="20">
        <f t="shared" si="38"/>
        <v>12.173554484254598</v>
      </c>
      <c r="AM17" s="18">
        <f t="shared" si="39"/>
        <v>4.1128625957597382</v>
      </c>
      <c r="AN17" s="18">
        <f t="shared" si="40"/>
        <v>4.9220177588324443</v>
      </c>
      <c r="AO17" s="18">
        <f t="shared" si="41"/>
        <v>5.7267921000663531</v>
      </c>
      <c r="AP17" s="18">
        <f t="shared" si="42"/>
        <v>6.5272243592984038</v>
      </c>
      <c r="AQ17" s="18">
        <f t="shared" si="43"/>
        <v>7.3233530130161331</v>
      </c>
      <c r="AR17" s="18">
        <f t="shared" si="44"/>
        <v>8.1152162753684731</v>
      </c>
      <c r="AS17" s="18">
        <f t="shared" si="45"/>
        <v>8.9028520991915379</v>
      </c>
      <c r="AT17" s="18">
        <f t="shared" si="46"/>
        <v>4.7981698327518618</v>
      </c>
      <c r="AU17" s="18">
        <f t="shared" si="47"/>
        <v>4.5179902115801571</v>
      </c>
      <c r="AV17" s="18"/>
    </row>
    <row r="18" spans="1:48" ht="15.75" thickBot="1" x14ac:dyDescent="0.3">
      <c r="A18" s="33"/>
      <c r="B18" s="37">
        <v>22</v>
      </c>
      <c r="C18" s="35">
        <f t="shared" si="13"/>
        <v>22000000</v>
      </c>
      <c r="D18" s="36">
        <f t="shared" si="14"/>
        <v>4.8852651199517467</v>
      </c>
      <c r="E18" s="36">
        <f t="shared" si="4"/>
        <v>5.8438694798513877</v>
      </c>
      <c r="F18" s="36">
        <f t="shared" si="15"/>
        <v>6.7964719181182707</v>
      </c>
      <c r="G18" s="36">
        <f t="shared" si="16"/>
        <v>7.7431347453694368</v>
      </c>
      <c r="H18" s="36">
        <f t="shared" si="17"/>
        <v>8.6839197949608078</v>
      </c>
      <c r="I18" s="36">
        <f t="shared" si="18"/>
        <v>9.6188884247913755</v>
      </c>
      <c r="J18" s="36">
        <f t="shared" si="19"/>
        <v>10.548101519158912</v>
      </c>
      <c r="K18" s="36">
        <v>80</v>
      </c>
      <c r="L18" s="36">
        <f t="shared" si="20"/>
        <v>5.3653214532105036</v>
      </c>
      <c r="M18" s="20">
        <v>60</v>
      </c>
      <c r="O18" s="27"/>
      <c r="P18" s="27"/>
      <c r="Q18" s="17"/>
      <c r="R18" s="17"/>
      <c r="S18" s="20">
        <f t="shared" si="21"/>
        <v>254.62962962962962</v>
      </c>
      <c r="T18" s="20">
        <f t="shared" si="22"/>
        <v>177.73148148148147</v>
      </c>
      <c r="U18" s="20">
        <f t="shared" ref="U18:W18" si="58">$R$1*1000*$AO$2*($AE$2-1)/$T18/D85/$V$2/$T$2/$AE$2</f>
        <v>0.73391181786985826</v>
      </c>
      <c r="V18" s="20">
        <f t="shared" si="58"/>
        <v>0.7352055941337502</v>
      </c>
      <c r="W18" s="20">
        <f t="shared" si="58"/>
        <v>0.73649550489682314</v>
      </c>
      <c r="X18" s="20">
        <f t="shared" si="24"/>
        <v>0.73778153257570556</v>
      </c>
      <c r="Y18" s="20">
        <f t="shared" si="25"/>
        <v>0.7390636598479422</v>
      </c>
      <c r="Z18" s="20">
        <f t="shared" si="26"/>
        <v>0.74034186965075222</v>
      </c>
      <c r="AA18" s="20">
        <f t="shared" si="27"/>
        <v>0.74161614517974328</v>
      </c>
      <c r="AB18" s="20">
        <f t="shared" si="28"/>
        <v>0.86014721110660297</v>
      </c>
      <c r="AC18" s="20">
        <f t="shared" si="29"/>
        <v>0.7345591880802208</v>
      </c>
      <c r="AD18" s="20">
        <f t="shared" si="30"/>
        <v>10.234859065436732</v>
      </c>
      <c r="AE18" s="20">
        <f t="shared" si="31"/>
        <v>10.267169759158589</v>
      </c>
      <c r="AF18" s="20">
        <f t="shared" si="32"/>
        <v>10.299461373980163</v>
      </c>
      <c r="AG18" s="20">
        <f t="shared" si="33"/>
        <v>10.331732900275531</v>
      </c>
      <c r="AH18" s="20">
        <f t="shared" si="34"/>
        <v>10.363983330687383</v>
      </c>
      <c r="AI18" s="20">
        <f t="shared" si="35"/>
        <v>10.396211660202193</v>
      </c>
      <c r="AJ18" s="20">
        <f t="shared" si="36"/>
        <v>10.428416886223827</v>
      </c>
      <c r="AK18" s="20">
        <f t="shared" si="37"/>
        <v>13.773832093735217</v>
      </c>
      <c r="AL18" s="20">
        <f t="shared" si="38"/>
        <v>10.251016733972032</v>
      </c>
      <c r="AM18" s="18">
        <f t="shared" si="39"/>
        <v>4.8852651199517467</v>
      </c>
      <c r="AN18" s="18">
        <f t="shared" si="40"/>
        <v>5.8438694798513877</v>
      </c>
      <c r="AO18" s="18">
        <f t="shared" si="41"/>
        <v>6.7964719181182707</v>
      </c>
      <c r="AP18" s="18">
        <f t="shared" si="42"/>
        <v>7.7431347453694368</v>
      </c>
      <c r="AQ18" s="18">
        <f t="shared" si="43"/>
        <v>8.6839197949608078</v>
      </c>
      <c r="AR18" s="18">
        <f t="shared" si="44"/>
        <v>9.6188884247913755</v>
      </c>
      <c r="AS18" s="18">
        <f t="shared" si="45"/>
        <v>10.548101519158912</v>
      </c>
      <c r="AT18" s="18">
        <f t="shared" si="46"/>
        <v>5.8081149425646466</v>
      </c>
      <c r="AU18" s="18">
        <f t="shared" si="47"/>
        <v>5.3653214532105036</v>
      </c>
      <c r="AV18" s="18"/>
    </row>
    <row r="19" spans="1:48" ht="15.75" thickBot="1" x14ac:dyDescent="0.3">
      <c r="A19" s="33"/>
      <c r="B19" s="37">
        <v>24</v>
      </c>
      <c r="C19" s="35">
        <f t="shared" si="13"/>
        <v>24000000</v>
      </c>
      <c r="D19" s="36">
        <f t="shared" si="14"/>
        <v>5.6695600657248857</v>
      </c>
      <c r="E19" s="36">
        <f t="shared" si="4"/>
        <v>6.7793314288552695</v>
      </c>
      <c r="F19" s="36">
        <f t="shared" si="15"/>
        <v>7.8812753054043281</v>
      </c>
      <c r="G19" s="36">
        <f t="shared" si="16"/>
        <v>8.9754842022621055</v>
      </c>
      <c r="H19" s="36">
        <f t="shared" si="17"/>
        <v>10.062049869616974</v>
      </c>
      <c r="I19" s="36">
        <f t="shared" si="18"/>
        <v>11.141063303121916</v>
      </c>
      <c r="J19" s="36">
        <f t="shared" si="19"/>
        <v>12.212614746206727</v>
      </c>
      <c r="K19" s="36">
        <v>80</v>
      </c>
      <c r="L19" s="36">
        <f t="shared" si="20"/>
        <v>6.2254299944082128</v>
      </c>
      <c r="M19" s="20">
        <v>60</v>
      </c>
      <c r="O19" s="27"/>
      <c r="P19" s="27"/>
      <c r="Q19" s="17"/>
      <c r="R19" s="17"/>
      <c r="S19" s="20">
        <f t="shared" si="21"/>
        <v>277.77777777777777</v>
      </c>
      <c r="T19" s="20">
        <f t="shared" si="22"/>
        <v>193.88888888888889</v>
      </c>
      <c r="U19" s="20">
        <f t="shared" ref="U19:W19" si="59">$R$1*1000*$AO$2*($AE$2-1)/$T19/D86/$V$2/$T$2/$AE$2</f>
        <v>0.67388453063510823</v>
      </c>
      <c r="V19" s="20">
        <f t="shared" si="59"/>
        <v>0.67529313346879727</v>
      </c>
      <c r="W19" s="20">
        <f t="shared" si="59"/>
        <v>0.67669690737609878</v>
      </c>
      <c r="X19" s="20">
        <f t="shared" si="24"/>
        <v>0.67809582354262199</v>
      </c>
      <c r="Y19" s="20">
        <f t="shared" si="25"/>
        <v>0.67948985359491176</v>
      </c>
      <c r="Z19" s="20">
        <f t="shared" si="26"/>
        <v>0.680878969598116</v>
      </c>
      <c r="AA19" s="20">
        <f t="shared" si="27"/>
        <v>0.68226314405354704</v>
      </c>
      <c r="AB19" s="20">
        <f t="shared" si="28"/>
        <v>0.78846827684771925</v>
      </c>
      <c r="AC19" s="20">
        <f t="shared" si="29"/>
        <v>0.67458943384956604</v>
      </c>
      <c r="AD19" s="20">
        <f t="shared" si="30"/>
        <v>8.8190264183411937</v>
      </c>
      <c r="AE19" s="20">
        <f t="shared" si="31"/>
        <v>8.8504302569746702</v>
      </c>
      <c r="AF19" s="20">
        <f t="shared" si="32"/>
        <v>8.881811291631923</v>
      </c>
      <c r="AG19" s="20">
        <f t="shared" si="33"/>
        <v>8.9131681586423461</v>
      </c>
      <c r="AH19" s="20">
        <f t="shared" si="34"/>
        <v>8.944499497240713</v>
      </c>
      <c r="AI19" s="20">
        <f t="shared" si="35"/>
        <v>8.9758039496982569</v>
      </c>
      <c r="AJ19" s="20">
        <f t="shared" si="36"/>
        <v>9.0070801614507907</v>
      </c>
      <c r="AK19" s="20">
        <f t="shared" si="37"/>
        <v>11.666399871564144</v>
      </c>
      <c r="AL19" s="20">
        <f t="shared" si="38"/>
        <v>8.8347311028156987</v>
      </c>
      <c r="AM19" s="18">
        <f t="shared" si="39"/>
        <v>5.6695600657248857</v>
      </c>
      <c r="AN19" s="18">
        <f t="shared" si="40"/>
        <v>6.7793314288552695</v>
      </c>
      <c r="AO19" s="18">
        <f t="shared" si="41"/>
        <v>7.8812753054043281</v>
      </c>
      <c r="AP19" s="18">
        <f t="shared" si="42"/>
        <v>8.9754842022621055</v>
      </c>
      <c r="AQ19" s="18">
        <f t="shared" si="43"/>
        <v>10.062049869616974</v>
      </c>
      <c r="AR19" s="18">
        <f t="shared" si="44"/>
        <v>11.141063303121916</v>
      </c>
      <c r="AS19" s="18">
        <f t="shared" si="45"/>
        <v>12.212614746206727</v>
      </c>
      <c r="AT19" s="18">
        <f t="shared" si="46"/>
        <v>6.8572996709116047</v>
      </c>
      <c r="AU19" s="18">
        <f t="shared" si="47"/>
        <v>6.2254299944082128</v>
      </c>
      <c r="AV19" s="18"/>
    </row>
    <row r="20" spans="1:48" s="22" customFormat="1" ht="15.75" thickBot="1" x14ac:dyDescent="0.3">
      <c r="A20" s="33"/>
      <c r="B20" s="37">
        <v>26</v>
      </c>
      <c r="C20" s="35">
        <f t="shared" si="13"/>
        <v>26000000</v>
      </c>
      <c r="D20" s="36">
        <f t="shared" si="14"/>
        <v>6.4577222862163932</v>
      </c>
      <c r="E20" s="36">
        <f t="shared" si="4"/>
        <v>7.718892789813304</v>
      </c>
      <c r="F20" s="36">
        <f t="shared" si="15"/>
        <v>8.9702447453974976</v>
      </c>
      <c r="G20" s="36">
        <f t="shared" si="16"/>
        <v>10.211907188911491</v>
      </c>
      <c r="H20" s="36">
        <f t="shared" si="17"/>
        <v>11.444008081140819</v>
      </c>
      <c r="I20" s="36">
        <f t="shared" si="18"/>
        <v>12.666674308555422</v>
      </c>
      <c r="J20" s="36">
        <f t="shared" si="19"/>
        <v>13.880031684504177</v>
      </c>
      <c r="K20" s="36">
        <v>80</v>
      </c>
      <c r="L20" s="36">
        <f t="shared" si="20"/>
        <v>7.0895429632767968</v>
      </c>
      <c r="M20" s="33">
        <v>60</v>
      </c>
      <c r="N20" s="33"/>
      <c r="O20" s="27"/>
      <c r="P20" s="27"/>
      <c r="S20" s="20">
        <f t="shared" si="21"/>
        <v>300.92592592592592</v>
      </c>
      <c r="T20" s="20">
        <f t="shared" si="22"/>
        <v>210.04629629629628</v>
      </c>
      <c r="U20" s="20">
        <f t="shared" ref="U20:W20" si="60">$R$1*1000*$AO$2*($AE$2-1)/$T20/D87/$V$2/$T$2/$AE$2</f>
        <v>0.6231107970928782</v>
      </c>
      <c r="V20" s="20">
        <f t="shared" si="60"/>
        <v>0.62461995132325865</v>
      </c>
      <c r="W20" s="20">
        <f t="shared" si="60"/>
        <v>0.62612333576033707</v>
      </c>
      <c r="X20" s="20">
        <f t="shared" si="24"/>
        <v>0.62762090511342072</v>
      </c>
      <c r="Y20" s="20">
        <f t="shared" si="25"/>
        <v>0.62911261478063873</v>
      </c>
      <c r="Z20" s="20">
        <f t="shared" si="26"/>
        <v>0.6305984208455534</v>
      </c>
      <c r="AA20" s="20">
        <f t="shared" si="27"/>
        <v>0.63207828007354194</v>
      </c>
      <c r="AB20" s="20">
        <f t="shared" si="28"/>
        <v>0.7278168709363565</v>
      </c>
      <c r="AC20" s="20">
        <f t="shared" si="29"/>
        <v>0.62386609257456782</v>
      </c>
      <c r="AD20" s="20">
        <f t="shared" si="30"/>
        <v>7.7426680467077214</v>
      </c>
      <c r="AE20" s="20">
        <f t="shared" si="31"/>
        <v>7.7731355563303799</v>
      </c>
      <c r="AF20" s="20">
        <f t="shared" si="32"/>
        <v>7.8035774927898132</v>
      </c>
      <c r="AG20" s="20">
        <f t="shared" si="33"/>
        <v>7.8339920761194621</v>
      </c>
      <c r="AH20" s="20">
        <f t="shared" si="34"/>
        <v>7.8643775294353135</v>
      </c>
      <c r="AI20" s="20">
        <f t="shared" si="35"/>
        <v>7.8947320791580813</v>
      </c>
      <c r="AJ20" s="20">
        <f t="shared" si="36"/>
        <v>7.9250539552301769</v>
      </c>
      <c r="AK20" s="20">
        <f t="shared" si="37"/>
        <v>10.083686993270343</v>
      </c>
      <c r="AL20" s="20">
        <f t="shared" si="38"/>
        <v>7.7579048868023115</v>
      </c>
      <c r="AM20" s="18">
        <f t="shared" si="39"/>
        <v>6.4577222862163932</v>
      </c>
      <c r="AN20" s="18">
        <f t="shared" si="40"/>
        <v>7.718892789813304</v>
      </c>
      <c r="AO20" s="18">
        <f t="shared" si="41"/>
        <v>8.9702447453974976</v>
      </c>
      <c r="AP20" s="18">
        <f t="shared" si="42"/>
        <v>10.211907188911491</v>
      </c>
      <c r="AQ20" s="18">
        <f t="shared" si="43"/>
        <v>11.444008081140819</v>
      </c>
      <c r="AR20" s="18">
        <f t="shared" si="44"/>
        <v>12.666674308555422</v>
      </c>
      <c r="AS20" s="18">
        <f t="shared" si="45"/>
        <v>13.880031684504177</v>
      </c>
      <c r="AT20" s="18">
        <f t="shared" si="46"/>
        <v>7.9336060365013763</v>
      </c>
      <c r="AU20" s="18">
        <f t="shared" si="47"/>
        <v>7.0895429632767968</v>
      </c>
      <c r="AV20" s="23"/>
    </row>
    <row r="21" spans="1:48" s="17" customFormat="1" ht="15.75" thickBot="1" x14ac:dyDescent="0.3">
      <c r="A21" s="33"/>
      <c r="B21" s="37">
        <v>28</v>
      </c>
      <c r="C21" s="35">
        <f t="shared" si="13"/>
        <v>28000000</v>
      </c>
      <c r="D21" s="36">
        <f t="shared" si="14"/>
        <v>7.2435423684056213</v>
      </c>
      <c r="E21" s="36">
        <f t="shared" si="4"/>
        <v>8.6552218272856223</v>
      </c>
      <c r="F21" s="36">
        <f t="shared" si="15"/>
        <v>10.054964462851853</v>
      </c>
      <c r="G21" s="36">
        <f t="shared" si="16"/>
        <v>11.442941593925301</v>
      </c>
      <c r="H21" s="36">
        <f t="shared" si="17"/>
        <v>12.819323150236006</v>
      </c>
      <c r="I21" s="36">
        <f t="shared" si="18"/>
        <v>14.18427766838396</v>
      </c>
      <c r="J21" s="36">
        <f t="shared" si="19"/>
        <v>15.537972288545243</v>
      </c>
      <c r="K21" s="36">
        <v>80</v>
      </c>
      <c r="L21" s="36">
        <f t="shared" si="20"/>
        <v>7.9508849623215241</v>
      </c>
      <c r="M21" s="33">
        <v>60</v>
      </c>
      <c r="N21" s="33"/>
      <c r="O21" s="27"/>
      <c r="P21" s="27"/>
      <c r="S21" s="20">
        <f t="shared" si="21"/>
        <v>324.07407407407408</v>
      </c>
      <c r="T21" s="20">
        <f t="shared" si="22"/>
        <v>226.2037037037037</v>
      </c>
      <c r="U21" s="20">
        <f t="shared" ref="U21:W21" si="61">$R$1*1000*$AO$2*($AE$2-1)/$T21/D88/$V$2/$T$2/$AE$2</f>
        <v>0.57959765680880304</v>
      </c>
      <c r="V21" s="20">
        <f t="shared" si="61"/>
        <v>0.5811942448432903</v>
      </c>
      <c r="W21" s="20">
        <f t="shared" si="61"/>
        <v>0.5827841714388915</v>
      </c>
      <c r="X21" s="20">
        <f t="shared" si="24"/>
        <v>0.5843673685453693</v>
      </c>
      <c r="Y21" s="20">
        <f t="shared" si="25"/>
        <v>0.58594376911884627</v>
      </c>
      <c r="Z21" s="20">
        <f t="shared" si="26"/>
        <v>0.58751330711818961</v>
      </c>
      <c r="AA21" s="20">
        <f t="shared" si="27"/>
        <v>0.5890759175009318</v>
      </c>
      <c r="AB21" s="20">
        <f t="shared" si="28"/>
        <v>0.67582995158375936</v>
      </c>
      <c r="AC21" s="20">
        <f t="shared" si="29"/>
        <v>0.58039677921336774</v>
      </c>
      <c r="AD21" s="20">
        <f t="shared" si="30"/>
        <v>6.9027000129227547</v>
      </c>
      <c r="AE21" s="20">
        <f t="shared" si="31"/>
        <v>6.9322313393343373</v>
      </c>
      <c r="AF21" s="20">
        <f t="shared" si="32"/>
        <v>6.9617351964410785</v>
      </c>
      <c r="AG21" s="20">
        <f t="shared" si="33"/>
        <v>6.9912093270203775</v>
      </c>
      <c r="AH21" s="20">
        <f t="shared" si="34"/>
        <v>7.0206514763100492</v>
      </c>
      <c r="AI21" s="20">
        <f t="shared" si="35"/>
        <v>7.0500593923718062</v>
      </c>
      <c r="AJ21" s="20">
        <f t="shared" si="36"/>
        <v>7.0794308264465862</v>
      </c>
      <c r="AK21" s="20">
        <f t="shared" si="37"/>
        <v>8.8624206878681235</v>
      </c>
      <c r="AL21" s="20">
        <f t="shared" si="38"/>
        <v>6.9174689686292394</v>
      </c>
      <c r="AM21" s="18">
        <f t="shared" si="39"/>
        <v>7.2435423684056213</v>
      </c>
      <c r="AN21" s="18">
        <f t="shared" si="40"/>
        <v>8.6552218272856223</v>
      </c>
      <c r="AO21" s="18">
        <f t="shared" si="41"/>
        <v>10.054964462851853</v>
      </c>
      <c r="AP21" s="18">
        <f t="shared" si="42"/>
        <v>11.442941593925301</v>
      </c>
      <c r="AQ21" s="18">
        <f t="shared" si="43"/>
        <v>12.819323150236006</v>
      </c>
      <c r="AR21" s="18">
        <f t="shared" si="44"/>
        <v>14.18427766838396</v>
      </c>
      <c r="AS21" s="18">
        <f t="shared" si="45"/>
        <v>15.537972288545243</v>
      </c>
      <c r="AT21" s="18">
        <f t="shared" si="46"/>
        <v>9.0268790906657124</v>
      </c>
      <c r="AU21" s="18">
        <f t="shared" si="47"/>
        <v>7.9508849623215241</v>
      </c>
      <c r="AV21" s="21"/>
    </row>
    <row r="22" spans="1:48" s="17" customFormat="1" ht="15.75" thickBot="1" x14ac:dyDescent="0.3">
      <c r="A22" s="33"/>
      <c r="B22" s="37">
        <v>30</v>
      </c>
      <c r="C22" s="35">
        <f t="shared" si="13"/>
        <v>30000000</v>
      </c>
      <c r="D22" s="36">
        <f t="shared" si="14"/>
        <v>8.0222821258223522</v>
      </c>
      <c r="E22" s="36">
        <f t="shared" si="14"/>
        <v>9.5827455003150082</v>
      </c>
      <c r="F22" s="36">
        <f t="shared" si="15"/>
        <v>11.129062124049794</v>
      </c>
      <c r="G22" s="36">
        <f t="shared" si="16"/>
        <v>12.661450602724042</v>
      </c>
      <c r="H22" s="36">
        <f t="shared" si="17"/>
        <v>14.180127899804674</v>
      </c>
      <c r="I22" s="36">
        <f t="shared" si="18"/>
        <v>15.685309321758279</v>
      </c>
      <c r="J22" s="36">
        <f t="shared" si="19"/>
        <v>17.177208504682447</v>
      </c>
      <c r="K22" s="36">
        <v>80</v>
      </c>
      <c r="L22" s="36">
        <f t="shared" si="20"/>
        <v>8.804295883486116</v>
      </c>
      <c r="M22" s="33">
        <v>60</v>
      </c>
      <c r="N22" s="33"/>
      <c r="O22" s="27"/>
      <c r="P22" s="20"/>
      <c r="Q22" s="20"/>
      <c r="R22" s="20"/>
      <c r="S22" s="20">
        <f t="shared" si="21"/>
        <v>347.22222222222223</v>
      </c>
      <c r="T22" s="20">
        <f t="shared" si="22"/>
        <v>242.36111111111109</v>
      </c>
      <c r="U22" s="20">
        <f t="shared" ref="U22:W22" si="62">$R$1*1000*$AO$2*($AE$2-1)/$T22/D89/$V$2/$T$2/$AE$2</f>
        <v>0.54188566219384926</v>
      </c>
      <c r="V22" s="20">
        <f t="shared" si="62"/>
        <v>0.54355781933960057</v>
      </c>
      <c r="W22" s="20">
        <f t="shared" si="62"/>
        <v>0.54522248973202936</v>
      </c>
      <c r="X22" s="20">
        <f t="shared" si="24"/>
        <v>0.54687957549622535</v>
      </c>
      <c r="Y22" s="20">
        <f t="shared" si="25"/>
        <v>0.5485289801424803</v>
      </c>
      <c r="Z22" s="20">
        <f t="shared" si="26"/>
        <v>0.5501706085646072</v>
      </c>
      <c r="AA22" s="20">
        <f t="shared" si="27"/>
        <v>0.5518043670373628</v>
      </c>
      <c r="AB22" s="20">
        <f t="shared" si="28"/>
        <v>0.63077462147817553</v>
      </c>
      <c r="AC22" s="20">
        <f t="shared" si="29"/>
        <v>0.54272267043957145</v>
      </c>
      <c r="AD22" s="20">
        <f t="shared" si="30"/>
        <v>6.2326404401882805</v>
      </c>
      <c r="AE22" s="20">
        <f t="shared" si="31"/>
        <v>6.261253624864362</v>
      </c>
      <c r="AF22" s="20">
        <f t="shared" si="32"/>
        <v>6.2898381929893885</v>
      </c>
      <c r="AG22" s="20">
        <f t="shared" si="33"/>
        <v>6.3183913526297237</v>
      </c>
      <c r="AH22" s="20">
        <f t="shared" si="34"/>
        <v>6.3469103125113362</v>
      </c>
      <c r="AI22" s="20">
        <f t="shared" si="35"/>
        <v>6.3753922825916121</v>
      </c>
      <c r="AJ22" s="20">
        <f t="shared" si="36"/>
        <v>6.4038344746187583</v>
      </c>
      <c r="AK22" s="20">
        <f t="shared" si="37"/>
        <v>7.8983377255744207</v>
      </c>
      <c r="AL22" s="20">
        <f t="shared" si="38"/>
        <v>6.2469504350894685</v>
      </c>
      <c r="AM22" s="18">
        <f t="shared" si="39"/>
        <v>8.0222821258223522</v>
      </c>
      <c r="AN22" s="18">
        <f t="shared" si="40"/>
        <v>9.5827455003150082</v>
      </c>
      <c r="AO22" s="18">
        <f t="shared" si="41"/>
        <v>11.129062124049794</v>
      </c>
      <c r="AP22" s="18">
        <f t="shared" si="42"/>
        <v>12.661450602724042</v>
      </c>
      <c r="AQ22" s="18">
        <f t="shared" si="43"/>
        <v>14.180127899804674</v>
      </c>
      <c r="AR22" s="18">
        <f t="shared" si="44"/>
        <v>15.685309321758279</v>
      </c>
      <c r="AS22" s="18">
        <f t="shared" si="45"/>
        <v>17.177208504682447</v>
      </c>
      <c r="AT22" s="18">
        <f t="shared" si="46"/>
        <v>10.128713506509605</v>
      </c>
      <c r="AU22" s="18">
        <f t="shared" si="47"/>
        <v>8.804295883486116</v>
      </c>
    </row>
    <row r="23" spans="1:48" s="17" customFormat="1" ht="15.75" thickBot="1" x14ac:dyDescent="0.3">
      <c r="A23" s="33"/>
      <c r="B23" s="37">
        <v>32</v>
      </c>
      <c r="C23" s="35">
        <f t="shared" si="13"/>
        <v>32000000</v>
      </c>
      <c r="D23" s="36">
        <f t="shared" si="14"/>
        <v>8.7903795060710657</v>
      </c>
      <c r="E23" s="36">
        <f t="shared" si="14"/>
        <v>10.497291474989609</v>
      </c>
      <c r="F23" s="36">
        <f t="shared" si="15"/>
        <v>12.187786910832576</v>
      </c>
      <c r="G23" s="36">
        <f t="shared" si="16"/>
        <v>13.862135884658745</v>
      </c>
      <c r="H23" s="36">
        <f t="shared" si="17"/>
        <v>15.520606696857257</v>
      </c>
      <c r="I23" s="36">
        <f t="shared" si="18"/>
        <v>17.163465843357884</v>
      </c>
      <c r="J23" s="36">
        <f t="shared" si="19"/>
        <v>18.790977984226057</v>
      </c>
      <c r="K23" s="36">
        <v>80</v>
      </c>
      <c r="L23" s="36">
        <f t="shared" si="20"/>
        <v>9.6459045047993826</v>
      </c>
      <c r="M23" s="33">
        <v>60</v>
      </c>
      <c r="N23" s="33"/>
      <c r="O23" s="27"/>
      <c r="P23" s="20"/>
      <c r="Q23" s="20"/>
      <c r="R23" s="20"/>
      <c r="S23" s="20">
        <f t="shared" si="21"/>
        <v>370.37037037037038</v>
      </c>
      <c r="T23" s="20">
        <f t="shared" si="22"/>
        <v>258.51851851851853</v>
      </c>
      <c r="U23" s="20">
        <f t="shared" ref="U23:W23" si="63">$R$1*1000*$AO$2*($AE$2-1)/$T23/D90/$V$2/$T$2/$AE$2</f>
        <v>0.50888179769426589</v>
      </c>
      <c r="V23" s="20">
        <f t="shared" si="63"/>
        <v>0.5106189020656785</v>
      </c>
      <c r="W23" s="20">
        <f t="shared" si="63"/>
        <v>0.51234777016890121</v>
      </c>
      <c r="X23" s="20">
        <f t="shared" si="24"/>
        <v>0.51406826673734185</v>
      </c>
      <c r="Y23" s="20">
        <f t="shared" si="25"/>
        <v>0.51578025831007279</v>
      </c>
      <c r="Z23" s="20">
        <f t="shared" si="26"/>
        <v>0.51748361323611747</v>
      </c>
      <c r="AA23" s="20">
        <f t="shared" si="27"/>
        <v>0.51917820167714834</v>
      </c>
      <c r="AB23" s="20">
        <f t="shared" si="28"/>
        <v>0.59135120763578941</v>
      </c>
      <c r="AC23" s="20">
        <f t="shared" si="29"/>
        <v>0.50975137088895039</v>
      </c>
      <c r="AD23" s="20">
        <f t="shared" si="30"/>
        <v>5.688036559225635</v>
      </c>
      <c r="AE23" s="20">
        <f t="shared" si="31"/>
        <v>5.7157601218327025</v>
      </c>
      <c r="AF23" s="20">
        <f t="shared" si="32"/>
        <v>5.7434545346197012</v>
      </c>
      <c r="AG23" s="20">
        <f t="shared" si="33"/>
        <v>5.7711164185409674</v>
      </c>
      <c r="AH23" s="20">
        <f t="shared" si="34"/>
        <v>5.798742391830852</v>
      </c>
      <c r="AI23" s="20">
        <f t="shared" si="35"/>
        <v>5.8263290708676507</v>
      </c>
      <c r="AJ23" s="20">
        <f t="shared" si="36"/>
        <v>5.8538730710205007</v>
      </c>
      <c r="AK23" s="20">
        <f t="shared" si="37"/>
        <v>7.1223649846328332</v>
      </c>
      <c r="AL23" s="20">
        <f t="shared" si="38"/>
        <v>5.7019017731965311</v>
      </c>
      <c r="AM23" s="18">
        <f t="shared" si="39"/>
        <v>8.7903795060710657</v>
      </c>
      <c r="AN23" s="18">
        <f t="shared" si="40"/>
        <v>10.497291474989609</v>
      </c>
      <c r="AO23" s="18">
        <f t="shared" si="41"/>
        <v>12.187786910832576</v>
      </c>
      <c r="AP23" s="18">
        <f t="shared" si="42"/>
        <v>13.862135884658745</v>
      </c>
      <c r="AQ23" s="18">
        <f t="shared" si="43"/>
        <v>15.520606696857257</v>
      </c>
      <c r="AR23" s="18">
        <f t="shared" si="44"/>
        <v>17.163465843357884</v>
      </c>
      <c r="AS23" s="18">
        <f t="shared" si="45"/>
        <v>18.790977984226057</v>
      </c>
      <c r="AT23" s="18">
        <f t="shared" si="46"/>
        <v>11.232224152034817</v>
      </c>
      <c r="AU23" s="18">
        <f t="shared" si="47"/>
        <v>9.6459045047993826</v>
      </c>
    </row>
    <row r="24" spans="1:48" s="30" customFormat="1" x14ac:dyDescent="0.25">
      <c r="A24" s="38"/>
      <c r="B24" s="37">
        <v>34</v>
      </c>
      <c r="C24" s="39">
        <f t="shared" si="13"/>
        <v>34000000</v>
      </c>
      <c r="D24" s="40">
        <f t="shared" si="14"/>
        <v>9.5452042648772011</v>
      </c>
      <c r="E24" s="40">
        <f t="shared" si="14"/>
        <v>11.395793204413716</v>
      </c>
      <c r="F24" s="40">
        <f t="shared" si="15"/>
        <v>13.227663619667901</v>
      </c>
      <c r="G24" s="40">
        <f t="shared" si="16"/>
        <v>15.041140394640188</v>
      </c>
      <c r="H24" s="40">
        <f t="shared" si="17"/>
        <v>16.836546705615149</v>
      </c>
      <c r="I24" s="40">
        <f t="shared" si="18"/>
        <v>18.61420395777856</v>
      </c>
      <c r="J24" s="40">
        <f t="shared" si="19"/>
        <v>20.374431725561312</v>
      </c>
      <c r="K24" s="40">
        <v>80</v>
      </c>
      <c r="L24" s="40">
        <f t="shared" si="20"/>
        <v>10.472858920328411</v>
      </c>
      <c r="M24" s="38">
        <v>60</v>
      </c>
      <c r="N24" s="38"/>
      <c r="O24" s="31"/>
      <c r="S24" s="30">
        <f t="shared" si="21"/>
        <v>393.51851851851853</v>
      </c>
      <c r="T24" s="30">
        <f t="shared" si="22"/>
        <v>274.67592592592592</v>
      </c>
      <c r="U24" s="30">
        <f t="shared" ref="U24:W24" si="64">$R$1*1000*$AO$2*($AE$2-1)/$T24/D91/$V$2/$T$2/$AE$2</f>
        <v>0.47975141588021475</v>
      </c>
      <c r="V24" s="30">
        <f t="shared" si="64"/>
        <v>0.48154402181401612</v>
      </c>
      <c r="W24" s="30">
        <f t="shared" si="64"/>
        <v>0.48332772150860848</v>
      </c>
      <c r="X24" s="30">
        <f t="shared" si="24"/>
        <v>0.4851023345018366</v>
      </c>
      <c r="Y24" s="30">
        <f t="shared" si="25"/>
        <v>0.4868676825687685</v>
      </c>
      <c r="Z24" s="30">
        <f t="shared" si="26"/>
        <v>0.48862358973838049</v>
      </c>
      <c r="AA24" s="30">
        <f t="shared" si="27"/>
        <v>0.49036988230760686</v>
      </c>
      <c r="AB24" s="30">
        <f t="shared" si="28"/>
        <v>0.55656584248074314</v>
      </c>
      <c r="AC24" s="30">
        <f t="shared" si="29"/>
        <v>0.48064882076125121</v>
      </c>
      <c r="AD24" s="30">
        <f t="shared" si="30"/>
        <v>5.238232583872656</v>
      </c>
      <c r="AE24" s="30">
        <f t="shared" si="31"/>
        <v>5.2651008072664345</v>
      </c>
      <c r="AF24" s="30">
        <f t="shared" si="32"/>
        <v>5.2919398325127238</v>
      </c>
      <c r="AG24" s="30">
        <f t="shared" si="33"/>
        <v>5.318745647006093</v>
      </c>
      <c r="AH24" s="30">
        <f t="shared" si="34"/>
        <v>5.3455142300638254</v>
      </c>
      <c r="AI24" s="30">
        <f t="shared" si="35"/>
        <v>5.3722415541821595</v>
      </c>
      <c r="AJ24" s="30">
        <f t="shared" si="36"/>
        <v>5.3989235862709446</v>
      </c>
      <c r="AK24" s="30">
        <f t="shared" si="37"/>
        <v>6.487280018961787</v>
      </c>
      <c r="AL24" s="30">
        <f t="shared" si="38"/>
        <v>5.2516700949004367</v>
      </c>
      <c r="AM24" s="32">
        <f t="shared" si="39"/>
        <v>9.5452042648772011</v>
      </c>
      <c r="AN24" s="32">
        <f t="shared" si="40"/>
        <v>11.395793204413716</v>
      </c>
      <c r="AO24" s="32">
        <f t="shared" si="41"/>
        <v>13.227663619667901</v>
      </c>
      <c r="AP24" s="32">
        <f t="shared" si="42"/>
        <v>15.041140394640188</v>
      </c>
      <c r="AQ24" s="32">
        <f t="shared" si="43"/>
        <v>16.836546705615149</v>
      </c>
      <c r="AR24" s="32">
        <f t="shared" si="44"/>
        <v>18.61420395777856</v>
      </c>
      <c r="AS24" s="32">
        <f t="shared" si="45"/>
        <v>20.374431725561312</v>
      </c>
      <c r="AT24" s="32">
        <f t="shared" si="46"/>
        <v>12.331824704061882</v>
      </c>
      <c r="AU24" s="32">
        <f t="shared" si="47"/>
        <v>10.472858920328411</v>
      </c>
    </row>
    <row r="25" spans="1:48" s="20" customFormat="1" ht="15.75" thickBot="1" x14ac:dyDescent="0.3">
      <c r="A25" s="33"/>
      <c r="B25" s="37">
        <v>36</v>
      </c>
      <c r="C25" s="35">
        <f t="shared" si="13"/>
        <v>36000000</v>
      </c>
      <c r="D25" s="36">
        <f t="shared" si="14"/>
        <v>10.284859705013039</v>
      </c>
      <c r="E25" s="36">
        <f t="shared" si="14"/>
        <v>12.276051678356776</v>
      </c>
      <c r="F25" s="36">
        <f t="shared" si="15"/>
        <v>14.246214440843479</v>
      </c>
      <c r="G25" s="36">
        <f t="shared" si="16"/>
        <v>16.195730247823828</v>
      </c>
      <c r="H25" s="36">
        <f t="shared" si="17"/>
        <v>18.124979966742632</v>
      </c>
      <c r="I25" s="36">
        <f t="shared" si="18"/>
        <v>20.034342971721152</v>
      </c>
      <c r="J25" s="36">
        <f t="shared" si="19"/>
        <v>21.92419704354494</v>
      </c>
      <c r="K25" s="36">
        <v>80</v>
      </c>
      <c r="L25" s="36">
        <f t="shared" si="20"/>
        <v>11.283108285223166</v>
      </c>
      <c r="M25" s="33">
        <v>60</v>
      </c>
      <c r="N25" s="33"/>
      <c r="O25" s="27"/>
      <c r="S25" s="20">
        <f t="shared" si="21"/>
        <v>416.66666666666669</v>
      </c>
      <c r="T25" s="20">
        <f t="shared" si="22"/>
        <v>290.83333333333331</v>
      </c>
      <c r="U25" s="20">
        <f t="shared" ref="U25:W25" si="65">$R$1*1000*$AO$2*($AE$2-1)/$T25/D92/$V$2/$T$2/$AE$2</f>
        <v>0.4538462410174412</v>
      </c>
      <c r="V25" s="20">
        <f t="shared" si="65"/>
        <v>0.45568598542890171</v>
      </c>
      <c r="W25" s="20">
        <f t="shared" si="65"/>
        <v>0.45751623285934873</v>
      </c>
      <c r="X25" s="20">
        <f t="shared" si="24"/>
        <v>0.45933674983918499</v>
      </c>
      <c r="Y25" s="20">
        <f t="shared" si="25"/>
        <v>0.46114730553913086</v>
      </c>
      <c r="Z25" s="20">
        <f t="shared" si="26"/>
        <v>0.46294767180852525</v>
      </c>
      <c r="AA25" s="20">
        <f t="shared" si="27"/>
        <v>0.46473762320953049</v>
      </c>
      <c r="AB25" s="20">
        <f t="shared" si="28"/>
        <v>0.52564551789847969</v>
      </c>
      <c r="AC25" s="20">
        <f t="shared" si="29"/>
        <v>0.45476728565194291</v>
      </c>
      <c r="AD25" s="20">
        <f t="shared" si="30"/>
        <v>4.8615150263672566</v>
      </c>
      <c r="AE25" s="20">
        <f t="shared" si="31"/>
        <v>4.8875649575329385</v>
      </c>
      <c r="AF25" s="20">
        <f t="shared" si="32"/>
        <v>4.9135860119662427</v>
      </c>
      <c r="AG25" s="20">
        <f t="shared" si="33"/>
        <v>4.9395735033774937</v>
      </c>
      <c r="AH25" s="20">
        <f t="shared" si="34"/>
        <v>4.9655227296879891</v>
      </c>
      <c r="AI25" s="20">
        <f t="shared" si="35"/>
        <v>4.9914289747935259</v>
      </c>
      <c r="AJ25" s="20">
        <f t="shared" si="36"/>
        <v>5.0172875103030012</v>
      </c>
      <c r="AK25" s="20">
        <f t="shared" si="37"/>
        <v>5.959908123934218</v>
      </c>
      <c r="AL25" s="20">
        <f t="shared" si="38"/>
        <v>4.8745433093140047</v>
      </c>
      <c r="AM25" s="21">
        <f t="shared" si="39"/>
        <v>10.284859705013039</v>
      </c>
      <c r="AN25" s="21">
        <f t="shared" si="40"/>
        <v>12.276051678356776</v>
      </c>
      <c r="AO25" s="21">
        <f t="shared" si="41"/>
        <v>14.246214440843479</v>
      </c>
      <c r="AP25" s="21">
        <f t="shared" si="42"/>
        <v>16.195730247823828</v>
      </c>
      <c r="AQ25" s="21">
        <f t="shared" si="43"/>
        <v>18.124979966742632</v>
      </c>
      <c r="AR25" s="21">
        <f t="shared" si="44"/>
        <v>20.034342971721152</v>
      </c>
      <c r="AS25" s="21">
        <f t="shared" si="45"/>
        <v>21.92419704354494</v>
      </c>
      <c r="AT25" s="21">
        <f t="shared" si="46"/>
        <v>13.423025713891523</v>
      </c>
      <c r="AU25" s="21">
        <f t="shared" si="47"/>
        <v>11.283108285223166</v>
      </c>
    </row>
    <row r="26" spans="1:48" s="20" customFormat="1" ht="15.75" thickBot="1" x14ac:dyDescent="0.3">
      <c r="A26" s="33"/>
      <c r="B26" s="37">
        <v>38</v>
      </c>
      <c r="C26" s="35">
        <f t="shared" si="13"/>
        <v>38000000</v>
      </c>
      <c r="D26" s="36">
        <f t="shared" si="14"/>
        <v>11.008023762748175</v>
      </c>
      <c r="E26" s="36">
        <f t="shared" si="14"/>
        <v>13.136545231640014</v>
      </c>
      <c r="F26" s="36">
        <f t="shared" si="15"/>
        <v>15.241737738755921</v>
      </c>
      <c r="G26" s="36">
        <f t="shared" si="16"/>
        <v>17.324042750044796</v>
      </c>
      <c r="H26" s="36">
        <f t="shared" si="17"/>
        <v>19.383900981454751</v>
      </c>
      <c r="I26" s="36">
        <f t="shared" si="18"/>
        <v>21.4217522377796</v>
      </c>
      <c r="J26" s="36">
        <f t="shared" si="19"/>
        <v>23.438035258838479</v>
      </c>
      <c r="K26" s="36">
        <v>80</v>
      </c>
      <c r="L26" s="36">
        <f t="shared" si="20"/>
        <v>12.075228233779068</v>
      </c>
      <c r="M26" s="33">
        <v>60</v>
      </c>
      <c r="N26" s="33"/>
      <c r="O26" s="27"/>
      <c r="S26" s="20">
        <f t="shared" si="21"/>
        <v>439.81481481481478</v>
      </c>
      <c r="T26" s="20">
        <f t="shared" si="22"/>
        <v>306.9907407407407</v>
      </c>
      <c r="U26" s="20">
        <f t="shared" ref="U26:W26" si="66">$R$1*1000*$AO$2*($AE$2-1)/$T26/D93/$V$2/$T$2/$AE$2</f>
        <v>0.43065514824317874</v>
      </c>
      <c r="V26" s="20">
        <f t="shared" si="66"/>
        <v>0.43253464719495677</v>
      </c>
      <c r="W26" s="20">
        <f t="shared" si="66"/>
        <v>0.43440413461622845</v>
      </c>
      <c r="X26" s="20">
        <f t="shared" si="24"/>
        <v>0.43626331639471366</v>
      </c>
      <c r="Y26" s="20">
        <f t="shared" si="25"/>
        <v>0.43811190138698114</v>
      </c>
      <c r="Z26" s="20">
        <f t="shared" si="26"/>
        <v>0.43994960149061696</v>
      </c>
      <c r="AA26" s="20">
        <f t="shared" si="27"/>
        <v>0.44177613171038382</v>
      </c>
      <c r="AB26" s="20">
        <f t="shared" si="28"/>
        <v>0.49797996432487546</v>
      </c>
      <c r="AC26" s="20">
        <f t="shared" si="29"/>
        <v>0.43159613066448954</v>
      </c>
      <c r="AD26" s="20">
        <f t="shared" si="30"/>
        <v>4.5421413577615128</v>
      </c>
      <c r="AE26" s="20">
        <f t="shared" si="31"/>
        <v>4.5674109091853969</v>
      </c>
      <c r="AF26" s="20">
        <f t="shared" si="32"/>
        <v>4.5926521765302084</v>
      </c>
      <c r="AG26" s="20">
        <f t="shared" si="33"/>
        <v>4.6178597660060117</v>
      </c>
      <c r="AH26" s="20">
        <f t="shared" si="34"/>
        <v>4.6430282576301911</v>
      </c>
      <c r="AI26" s="20">
        <f t="shared" si="35"/>
        <v>4.6681522076256243</v>
      </c>
      <c r="AJ26" s="20">
        <f t="shared" si="36"/>
        <v>4.6932261507934641</v>
      </c>
      <c r="AK26" s="20">
        <f t="shared" si="37"/>
        <v>5.5163829410255509</v>
      </c>
      <c r="AL26" s="20">
        <f t="shared" si="38"/>
        <v>4.5547793329606643</v>
      </c>
      <c r="AM26" s="18">
        <f t="shared" si="39"/>
        <v>11.008023762748175</v>
      </c>
      <c r="AN26" s="18">
        <f t="shared" si="40"/>
        <v>13.136545231640014</v>
      </c>
      <c r="AO26" s="18">
        <f t="shared" si="41"/>
        <v>15.241737738755921</v>
      </c>
      <c r="AP26" s="18">
        <f t="shared" si="42"/>
        <v>17.324042750044796</v>
      </c>
      <c r="AQ26" s="18">
        <f t="shared" si="43"/>
        <v>19.383900981454751</v>
      </c>
      <c r="AR26" s="18">
        <f t="shared" si="44"/>
        <v>21.4217522377796</v>
      </c>
      <c r="AS26" s="18">
        <f t="shared" si="45"/>
        <v>23.438035258838479</v>
      </c>
      <c r="AT26" s="18">
        <f t="shared" si="46"/>
        <v>14.502256434200195</v>
      </c>
      <c r="AU26" s="18">
        <f t="shared" si="47"/>
        <v>12.075228233779068</v>
      </c>
    </row>
    <row r="27" spans="1:48" s="20" customFormat="1" ht="15.75" thickBot="1" x14ac:dyDescent="0.3">
      <c r="A27" s="33"/>
      <c r="B27" s="37">
        <v>40</v>
      </c>
      <c r="C27" s="35">
        <f t="shared" si="13"/>
        <v>40000000</v>
      </c>
      <c r="D27" s="36">
        <f t="shared" si="14"/>
        <v>11.713822596493142</v>
      </c>
      <c r="E27" s="36">
        <f t="shared" si="14"/>
        <v>13.976278818649577</v>
      </c>
      <c r="F27" s="36">
        <f t="shared" si="15"/>
        <v>16.213133378551177</v>
      </c>
      <c r="G27" s="36">
        <f t="shared" si="16"/>
        <v>18.424888157050155</v>
      </c>
      <c r="H27" s="36">
        <f t="shared" si="17"/>
        <v>20.612045296005043</v>
      </c>
      <c r="I27" s="36">
        <f t="shared" si="18"/>
        <v>22.775106967153036</v>
      </c>
      <c r="J27" s="36">
        <f t="shared" si="19"/>
        <v>24.914575150332027</v>
      </c>
      <c r="K27" s="36">
        <v>80</v>
      </c>
      <c r="L27" s="36">
        <f t="shared" si="20"/>
        <v>12.848282266202771</v>
      </c>
      <c r="M27" s="33">
        <v>60</v>
      </c>
      <c r="N27" s="33"/>
      <c r="O27" s="27"/>
      <c r="S27" s="20">
        <f t="shared" si="21"/>
        <v>462.96296296296293</v>
      </c>
      <c r="T27" s="20">
        <f t="shared" si="22"/>
        <v>323.1481481481481</v>
      </c>
      <c r="U27" s="20">
        <f t="shared" ref="U27:W27" si="67">$R$1*1000*$AO$2*($AE$2-1)/$T27/D94/$V$2/$T$2/$AE$2</f>
        <v>0.40976974148586781</v>
      </c>
      <c r="V27" s="20">
        <f t="shared" si="67"/>
        <v>0.41168248676292957</v>
      </c>
      <c r="W27" s="20">
        <f t="shared" si="67"/>
        <v>0.413584777412077</v>
      </c>
      <c r="X27" s="20">
        <f t="shared" si="24"/>
        <v>0.41547625136013872</v>
      </c>
      <c r="Y27" s="20">
        <f t="shared" si="25"/>
        <v>0.41735654970684305</v>
      </c>
      <c r="Z27" s="20">
        <f t="shared" si="26"/>
        <v>0.41922531684620479</v>
      </c>
      <c r="AA27" s="20">
        <f t="shared" si="27"/>
        <v>0.42108220057956985</v>
      </c>
      <c r="AB27" s="20">
        <f t="shared" si="28"/>
        <v>0.47308096610863171</v>
      </c>
      <c r="AC27" s="20">
        <f t="shared" si="29"/>
        <v>0.41072739820286258</v>
      </c>
      <c r="AD27" s="20">
        <f t="shared" si="30"/>
        <v>4.2684614341836529</v>
      </c>
      <c r="AE27" s="20">
        <f t="shared" si="31"/>
        <v>4.2929881965389516</v>
      </c>
      <c r="AF27" s="20">
        <f t="shared" si="32"/>
        <v>4.3174874569652912</v>
      </c>
      <c r="AG27" s="20">
        <f t="shared" si="33"/>
        <v>4.3419530863957272</v>
      </c>
      <c r="AH27" s="20">
        <f t="shared" si="34"/>
        <v>4.3663789161885598</v>
      </c>
      <c r="AI27" s="20">
        <f t="shared" si="35"/>
        <v>4.3907587412969384</v>
      </c>
      <c r="AJ27" s="20">
        <f t="shared" si="36"/>
        <v>4.415086323417964</v>
      </c>
      <c r="AK27" s="20">
        <f t="shared" si="37"/>
        <v>5.1391716977912516</v>
      </c>
      <c r="AL27" s="20">
        <f t="shared" si="38"/>
        <v>4.2807278716686312</v>
      </c>
      <c r="AM27" s="18">
        <f t="shared" si="39"/>
        <v>11.713822596493142</v>
      </c>
      <c r="AN27" s="18">
        <f t="shared" si="40"/>
        <v>13.976278818649577</v>
      </c>
      <c r="AO27" s="18">
        <f t="shared" si="41"/>
        <v>16.213133378551177</v>
      </c>
      <c r="AP27" s="18">
        <f t="shared" si="42"/>
        <v>18.424888157050155</v>
      </c>
      <c r="AQ27" s="18">
        <f t="shared" si="43"/>
        <v>20.612045296005043</v>
      </c>
      <c r="AR27" s="18">
        <f t="shared" si="44"/>
        <v>22.775106967153036</v>
      </c>
      <c r="AS27" s="18">
        <f t="shared" si="45"/>
        <v>24.914575150332027</v>
      </c>
      <c r="AT27" s="18">
        <f t="shared" si="46"/>
        <v>15.566710883464536</v>
      </c>
      <c r="AU27" s="18">
        <f t="shared" si="47"/>
        <v>12.848282266202771</v>
      </c>
    </row>
    <row r="28" spans="1:48" s="20" customFormat="1" ht="15.75" thickBot="1" x14ac:dyDescent="0.3">
      <c r="A28" s="33"/>
      <c r="B28" s="37">
        <v>42</v>
      </c>
      <c r="C28" s="35">
        <f t="shared" si="13"/>
        <v>42000000</v>
      </c>
      <c r="D28" s="36">
        <f t="shared" si="14"/>
        <v>12.401730497749071</v>
      </c>
      <c r="E28" s="36">
        <f t="shared" si="14"/>
        <v>14.79466508973044</v>
      </c>
      <c r="F28" s="36">
        <f t="shared" si="15"/>
        <v>17.159765378384851</v>
      </c>
      <c r="G28" s="36">
        <f t="shared" si="16"/>
        <v>19.497594317440893</v>
      </c>
      <c r="H28" s="36">
        <f t="shared" si="17"/>
        <v>21.808716553350145</v>
      </c>
      <c r="I28" s="36">
        <f t="shared" si="18"/>
        <v>24.093698110172539</v>
      </c>
      <c r="J28" s="36">
        <f t="shared" si="19"/>
        <v>26.353106085685315</v>
      </c>
      <c r="K28" s="36">
        <v>80</v>
      </c>
      <c r="L28" s="36">
        <f t="shared" si="20"/>
        <v>13.601712191302397</v>
      </c>
      <c r="M28" s="33">
        <v>60</v>
      </c>
      <c r="N28" s="33"/>
      <c r="O28" s="27"/>
      <c r="S28" s="20">
        <f t="shared" si="21"/>
        <v>486.11111111111114</v>
      </c>
      <c r="T28" s="20">
        <f t="shared" si="22"/>
        <v>339.30555555555554</v>
      </c>
      <c r="U28" s="20">
        <f t="shared" ref="U28:W28" si="68">$R$1*1000*$AO$2*($AE$2-1)/$T28/D95/$V$2/$T$2/$AE$2</f>
        <v>0.39085979192535475</v>
      </c>
      <c r="V28" s="20">
        <f t="shared" si="68"/>
        <v>0.39280005287231706</v>
      </c>
      <c r="W28" s="20">
        <f t="shared" si="68"/>
        <v>0.39472948184964868</v>
      </c>
      <c r="X28" s="20">
        <f t="shared" si="24"/>
        <v>0.39664764192260255</v>
      </c>
      <c r="Y28" s="20">
        <f t="shared" si="25"/>
        <v>0.39855409935772484</v>
      </c>
      <c r="Z28" s="20">
        <f t="shared" si="26"/>
        <v>0.40044842381183648</v>
      </c>
      <c r="AA28" s="20">
        <f t="shared" si="27"/>
        <v>0.40233018851000996</v>
      </c>
      <c r="AB28" s="20">
        <f t="shared" si="28"/>
        <v>0.45055330105583963</v>
      </c>
      <c r="AC28" s="20">
        <f t="shared" si="29"/>
        <v>0.39183124896695731</v>
      </c>
      <c r="AD28" s="20">
        <f t="shared" si="30"/>
        <v>4.0316954161417282</v>
      </c>
      <c r="AE28" s="20">
        <f t="shared" si="31"/>
        <v>4.0555159333514323</v>
      </c>
      <c r="AF28" s="20">
        <f t="shared" si="32"/>
        <v>4.0793098539782422</v>
      </c>
      <c r="AG28" s="20">
        <f t="shared" si="33"/>
        <v>4.1030702915199537</v>
      </c>
      <c r="AH28" s="20">
        <f t="shared" si="34"/>
        <v>4.1267903033099236</v>
      </c>
      <c r="AI28" s="20">
        <f t="shared" si="35"/>
        <v>4.150462894601441</v>
      </c>
      <c r="AJ28" s="20">
        <f t="shared" si="36"/>
        <v>4.1740810226446383</v>
      </c>
      <c r="AK28" s="20">
        <f t="shared" si="37"/>
        <v>4.8151532815124192</v>
      </c>
      <c r="AL28" s="20">
        <f t="shared" si="38"/>
        <v>4.0436085712186811</v>
      </c>
      <c r="AM28" s="18">
        <f t="shared" si="39"/>
        <v>12.401730497749071</v>
      </c>
      <c r="AN28" s="18">
        <f t="shared" si="40"/>
        <v>14.79466508973044</v>
      </c>
      <c r="AO28" s="18">
        <f t="shared" si="41"/>
        <v>17.159765378384851</v>
      </c>
      <c r="AP28" s="18">
        <f t="shared" si="42"/>
        <v>19.497594317440893</v>
      </c>
      <c r="AQ28" s="18">
        <f t="shared" si="43"/>
        <v>21.808716553350145</v>
      </c>
      <c r="AR28" s="18">
        <f t="shared" si="44"/>
        <v>24.093698110172539</v>
      </c>
      <c r="AS28" s="18">
        <f t="shared" si="45"/>
        <v>26.353106085685315</v>
      </c>
      <c r="AT28" s="18">
        <f t="shared" si="46"/>
        <v>16.614216686965435</v>
      </c>
      <c r="AU28" s="18">
        <f t="shared" si="47"/>
        <v>13.601712191302397</v>
      </c>
    </row>
    <row r="29" spans="1:48" s="20" customFormat="1" ht="15.75" thickBot="1" x14ac:dyDescent="0.3">
      <c r="A29" s="33"/>
      <c r="B29" s="37">
        <v>44</v>
      </c>
      <c r="C29" s="35">
        <f t="shared" si="13"/>
        <v>44000000</v>
      </c>
      <c r="D29" s="36">
        <f t="shared" si="14"/>
        <v>13.071490866355225</v>
      </c>
      <c r="E29" s="36">
        <f t="shared" si="14"/>
        <v>15.591430803852456</v>
      </c>
      <c r="F29" s="36">
        <f t="shared" si="15"/>
        <v>18.081354171021257</v>
      </c>
      <c r="G29" s="36">
        <f t="shared" si="16"/>
        <v>20.541885192703177</v>
      </c>
      <c r="H29" s="36">
        <f t="shared" si="17"/>
        <v>22.973651678587451</v>
      </c>
      <c r="I29" s="36">
        <f t="shared" si="18"/>
        <v>25.3772846110665</v>
      </c>
      <c r="J29" s="36">
        <f t="shared" si="19"/>
        <v>27.753417745746315</v>
      </c>
      <c r="K29" s="36">
        <v>80</v>
      </c>
      <c r="L29" s="36">
        <f t="shared" si="20"/>
        <v>14.335251768898377</v>
      </c>
      <c r="M29" s="33">
        <v>60</v>
      </c>
      <c r="N29" s="33"/>
      <c r="O29" s="27"/>
      <c r="S29" s="20">
        <f t="shared" si="21"/>
        <v>509.25925925925924</v>
      </c>
      <c r="T29" s="20">
        <f t="shared" si="22"/>
        <v>355.46296296296293</v>
      </c>
      <c r="U29" s="20">
        <f t="shared" ref="U29:W29" si="69">$R$1*1000*$AO$2*($AE$2-1)/$T29/D96/$V$2/$T$2/$AE$2</f>
        <v>0.37365539496751049</v>
      </c>
      <c r="V29" s="20">
        <f t="shared" si="69"/>
        <v>0.37561812813307582</v>
      </c>
      <c r="W29" s="20">
        <f t="shared" si="69"/>
        <v>0.37756971162014508</v>
      </c>
      <c r="X29" s="20">
        <f t="shared" si="24"/>
        <v>0.37950962721596798</v>
      </c>
      <c r="Y29" s="20">
        <f t="shared" si="25"/>
        <v>0.38143735971161152</v>
      </c>
      <c r="Z29" s="20">
        <f t="shared" si="26"/>
        <v>0.38335239717972275</v>
      </c>
      <c r="AA29" s="20">
        <f t="shared" si="27"/>
        <v>0.38525423123847197</v>
      </c>
      <c r="AB29" s="20">
        <f t="shared" si="28"/>
        <v>0.43007360555330149</v>
      </c>
      <c r="AC29" s="20">
        <f t="shared" si="29"/>
        <v>0.3746381227623431</v>
      </c>
      <c r="AD29" s="20">
        <f t="shared" si="30"/>
        <v>3.8251183825324202</v>
      </c>
      <c r="AE29" s="20">
        <f t="shared" si="31"/>
        <v>3.8482677282687052</v>
      </c>
      <c r="AF29" s="20">
        <f t="shared" si="32"/>
        <v>3.8713914532014453</v>
      </c>
      <c r="AG29" s="20">
        <f t="shared" si="33"/>
        <v>3.8944818963557126</v>
      </c>
      <c r="AH29" s="20">
        <f t="shared" si="34"/>
        <v>3.9175313206251983</v>
      </c>
      <c r="AI29" s="20">
        <f t="shared" si="35"/>
        <v>3.9405319179181246</v>
      </c>
      <c r="AJ29" s="20">
        <f t="shared" si="36"/>
        <v>3.9634758143205397</v>
      </c>
      <c r="AK29" s="20">
        <f t="shared" si="37"/>
        <v>4.5343442749781255</v>
      </c>
      <c r="AL29" s="20">
        <f t="shared" si="38"/>
        <v>3.8366957823041141</v>
      </c>
      <c r="AM29" s="18">
        <f t="shared" si="39"/>
        <v>13.071490866355225</v>
      </c>
      <c r="AN29" s="18">
        <f t="shared" si="40"/>
        <v>15.591430803852456</v>
      </c>
      <c r="AO29" s="18">
        <f t="shared" si="41"/>
        <v>18.081354171021257</v>
      </c>
      <c r="AP29" s="18">
        <f t="shared" si="42"/>
        <v>20.541885192703177</v>
      </c>
      <c r="AQ29" s="18">
        <f t="shared" si="43"/>
        <v>22.973651678587451</v>
      </c>
      <c r="AR29" s="18">
        <f t="shared" si="44"/>
        <v>25.3772846110665</v>
      </c>
      <c r="AS29" s="18">
        <f t="shared" si="45"/>
        <v>27.753417745746315</v>
      </c>
      <c r="AT29" s="18">
        <f t="shared" si="46"/>
        <v>17.643124374446828</v>
      </c>
      <c r="AU29" s="18">
        <f t="shared" si="47"/>
        <v>14.335251768898377</v>
      </c>
    </row>
    <row r="30" spans="1:48" s="20" customFormat="1" ht="15.75" thickBot="1" x14ac:dyDescent="0.3">
      <c r="A30" s="33"/>
      <c r="B30" s="37">
        <v>46</v>
      </c>
      <c r="C30" s="35">
        <f t="shared" si="13"/>
        <v>46000000</v>
      </c>
      <c r="D30" s="36">
        <f t="shared" si="14"/>
        <v>13.72305392162567</v>
      </c>
      <c r="E30" s="36">
        <f t="shared" si="14"/>
        <v>16.366543290554038</v>
      </c>
      <c r="F30" s="36">
        <f t="shared" si="15"/>
        <v>18.977892205140357</v>
      </c>
      <c r="G30" s="36">
        <f t="shared" si="16"/>
        <v>21.557785980555607</v>
      </c>
      <c r="H30" s="36">
        <f t="shared" si="17"/>
        <v>24.106915901114021</v>
      </c>
      <c r="I30" s="36">
        <f t="shared" si="18"/>
        <v>26.62597869970563</v>
      </c>
      <c r="J30" s="36">
        <f t="shared" si="19"/>
        <v>29.115676050515159</v>
      </c>
      <c r="K30" s="36">
        <v>80</v>
      </c>
      <c r="L30" s="36">
        <f t="shared" si="20"/>
        <v>15.048858747425655</v>
      </c>
      <c r="M30" s="33">
        <v>60</v>
      </c>
      <c r="N30" s="33"/>
      <c r="O30" s="27"/>
      <c r="S30" s="20">
        <f t="shared" si="21"/>
        <v>532.40740740740739</v>
      </c>
      <c r="T30" s="20">
        <f t="shared" si="22"/>
        <v>371.62037037037032</v>
      </c>
      <c r="U30" s="20">
        <f t="shared" ref="U30:W30" si="70">$R$1*1000*$AO$2*($AE$2-1)/$T30/D97/$V$2/$T$2/$AE$2</f>
        <v>0.35793379722473045</v>
      </c>
      <c r="V30" s="20">
        <f t="shared" si="70"/>
        <v>0.35991456476981859</v>
      </c>
      <c r="W30" s="20">
        <f t="shared" si="70"/>
        <v>0.36188391837412615</v>
      </c>
      <c r="X30" s="20">
        <f t="shared" si="24"/>
        <v>0.36384125265419393</v>
      </c>
      <c r="Y30" s="20">
        <f t="shared" si="25"/>
        <v>0.36578596475955233</v>
      </c>
      <c r="Z30" s="20">
        <f t="shared" si="26"/>
        <v>0.36771745476295986</v>
      </c>
      <c r="AA30" s="20">
        <f t="shared" si="27"/>
        <v>0.36963512603412024</v>
      </c>
      <c r="AB30" s="20">
        <f t="shared" si="28"/>
        <v>0.41137475313794053</v>
      </c>
      <c r="AC30" s="20">
        <f t="shared" si="29"/>
        <v>0.35892556981545748</v>
      </c>
      <c r="AD30" s="20">
        <f t="shared" si="30"/>
        <v>3.6435038647779989</v>
      </c>
      <c r="AE30" s="20">
        <f t="shared" si="31"/>
        <v>3.6660154154010662</v>
      </c>
      <c r="AF30" s="20">
        <f t="shared" si="32"/>
        <v>3.6885023501735237</v>
      </c>
      <c r="AG30" s="20">
        <f t="shared" si="33"/>
        <v>3.7109562212073768</v>
      </c>
      <c r="AH30" s="20">
        <f t="shared" si="34"/>
        <v>3.7333684810275103</v>
      </c>
      <c r="AI30" s="20">
        <f t="shared" si="35"/>
        <v>3.7557304889268002</v>
      </c>
      <c r="AJ30" s="20">
        <f t="shared" si="36"/>
        <v>3.7780335173791615</v>
      </c>
      <c r="AK30" s="20">
        <f t="shared" si="37"/>
        <v>4.2890349443249036</v>
      </c>
      <c r="AL30" s="20">
        <f t="shared" si="38"/>
        <v>3.6547621931403014</v>
      </c>
      <c r="AM30" s="18">
        <f t="shared" si="39"/>
        <v>13.72305392162567</v>
      </c>
      <c r="AN30" s="18">
        <f t="shared" si="40"/>
        <v>16.366543290554038</v>
      </c>
      <c r="AO30" s="18">
        <f t="shared" si="41"/>
        <v>18.977892205140357</v>
      </c>
      <c r="AP30" s="18">
        <f t="shared" si="42"/>
        <v>21.557785980555607</v>
      </c>
      <c r="AQ30" s="18">
        <f t="shared" si="43"/>
        <v>24.106915901114021</v>
      </c>
      <c r="AR30" s="18">
        <f t="shared" si="44"/>
        <v>26.62597869970563</v>
      </c>
      <c r="AS30" s="18">
        <f t="shared" si="45"/>
        <v>29.115676050515159</v>
      </c>
      <c r="AT30" s="18">
        <f t="shared" si="46"/>
        <v>18.652214551399986</v>
      </c>
      <c r="AU30" s="18">
        <f t="shared" si="47"/>
        <v>15.048858747425655</v>
      </c>
    </row>
    <row r="31" spans="1:48" s="20" customFormat="1" ht="15.75" thickBot="1" x14ac:dyDescent="0.3">
      <c r="A31" s="33"/>
      <c r="B31" s="37">
        <v>48</v>
      </c>
      <c r="C31" s="35">
        <f t="shared" si="13"/>
        <v>48000000</v>
      </c>
      <c r="D31" s="36">
        <f t="shared" si="14"/>
        <v>14.356527655131631</v>
      </c>
      <c r="E31" s="36">
        <f t="shared" si="14"/>
        <v>17.120152716867835</v>
      </c>
      <c r="F31" s="36">
        <f t="shared" si="15"/>
        <v>19.849577880009427</v>
      </c>
      <c r="G31" s="36">
        <f t="shared" si="16"/>
        <v>22.545549063032624</v>
      </c>
      <c r="H31" s="36">
        <f t="shared" si="17"/>
        <v>25.208821054154591</v>
      </c>
      <c r="I31" s="36">
        <f t="shared" si="18"/>
        <v>27.840156873187706</v>
      </c>
      <c r="J31" s="36">
        <f t="shared" si="19"/>
        <v>30.44032714610665</v>
      </c>
      <c r="K31" s="36">
        <v>80</v>
      </c>
      <c r="L31" s="36">
        <f t="shared" si="20"/>
        <v>15.742661429076755</v>
      </c>
      <c r="M31" s="33">
        <v>60</v>
      </c>
      <c r="N31" s="33"/>
      <c r="O31" s="27"/>
      <c r="S31" s="20">
        <f t="shared" si="21"/>
        <v>555.55555555555554</v>
      </c>
      <c r="T31" s="20">
        <f t="shared" si="22"/>
        <v>387.77777777777777</v>
      </c>
      <c r="U31" s="20">
        <f t="shared" ref="U31:W31" si="71">$R$1*1000*$AO$2*($AE$2-1)/$T31/D98/$V$2/$T$2/$AE$2</f>
        <v>0.34350952845360788</v>
      </c>
      <c r="V31" s="20">
        <f t="shared" si="71"/>
        <v>0.3455044253780748</v>
      </c>
      <c r="W31" s="20">
        <f t="shared" si="71"/>
        <v>0.34748769153542519</v>
      </c>
      <c r="X31" s="20">
        <f t="shared" si="24"/>
        <v>0.34945862902071512</v>
      </c>
      <c r="Y31" s="20">
        <f t="shared" si="25"/>
        <v>0.35141654167438025</v>
      </c>
      <c r="Z31" s="20">
        <f t="shared" si="26"/>
        <v>0.35336073561078674</v>
      </c>
      <c r="AA31" s="20">
        <f t="shared" si="27"/>
        <v>0.35529051972802855</v>
      </c>
      <c r="AB31" s="20">
        <f t="shared" si="28"/>
        <v>0.39423413842385963</v>
      </c>
      <c r="AC31" s="20">
        <f t="shared" si="29"/>
        <v>0.34450838708930848</v>
      </c>
      <c r="AD31" s="20">
        <f t="shared" si="30"/>
        <v>3.4827362995485811</v>
      </c>
      <c r="AE31" s="20">
        <f t="shared" si="31"/>
        <v>3.5046416344688489</v>
      </c>
      <c r="AF31" s="20">
        <f t="shared" si="32"/>
        <v>3.5265233559700642</v>
      </c>
      <c r="AG31" s="20">
        <f t="shared" si="33"/>
        <v>3.5483722208909967</v>
      </c>
      <c r="AH31" s="20">
        <f t="shared" si="34"/>
        <v>3.5701788594817039</v>
      </c>
      <c r="AI31" s="20">
        <f t="shared" si="35"/>
        <v>3.5919337831141314</v>
      </c>
      <c r="AJ31" s="20">
        <f t="shared" si="36"/>
        <v>3.6136273921112938</v>
      </c>
      <c r="AK31" s="20">
        <f t="shared" si="37"/>
        <v>4.0731910866855792</v>
      </c>
      <c r="AL31" s="20">
        <f t="shared" si="38"/>
        <v>3.4936913461414343</v>
      </c>
      <c r="AM31" s="18">
        <f t="shared" si="39"/>
        <v>14.356527655131631</v>
      </c>
      <c r="AN31" s="18">
        <f t="shared" si="40"/>
        <v>17.120152716867835</v>
      </c>
      <c r="AO31" s="18">
        <f t="shared" si="41"/>
        <v>19.849577880009427</v>
      </c>
      <c r="AP31" s="18">
        <f t="shared" si="42"/>
        <v>22.545549063032624</v>
      </c>
      <c r="AQ31" s="18">
        <f t="shared" si="43"/>
        <v>25.208821054154591</v>
      </c>
      <c r="AR31" s="18">
        <f t="shared" si="44"/>
        <v>27.840156873187706</v>
      </c>
      <c r="AS31" s="18">
        <f t="shared" si="45"/>
        <v>30.44032714610665</v>
      </c>
      <c r="AT31" s="18">
        <f t="shared" si="46"/>
        <v>19.640620412212794</v>
      </c>
      <c r="AU31" s="18">
        <f t="shared" si="47"/>
        <v>15.742661429076755</v>
      </c>
    </row>
    <row r="32" spans="1:48" s="20" customFormat="1" ht="15.75" thickBot="1" x14ac:dyDescent="0.3">
      <c r="A32" s="33"/>
      <c r="B32" s="37">
        <v>50</v>
      </c>
      <c r="C32" s="35">
        <f t="shared" si="13"/>
        <v>50000000</v>
      </c>
      <c r="D32" s="36">
        <f t="shared" si="14"/>
        <v>14.972139237439734</v>
      </c>
      <c r="E32" s="36">
        <f t="shared" si="14"/>
        <v>17.852546789523654</v>
      </c>
      <c r="F32" s="36">
        <f t="shared" si="15"/>
        <v>20.696763857190511</v>
      </c>
      <c r="G32" s="36">
        <f t="shared" si="16"/>
        <v>23.505596232965978</v>
      </c>
      <c r="H32" s="36">
        <f t="shared" si="17"/>
        <v>26.279862013030776</v>
      </c>
      <c r="I32" s="36">
        <f t="shared" si="18"/>
        <v>29.020390835059398</v>
      </c>
      <c r="J32" s="36">
        <f t="shared" si="19"/>
        <v>31.728023126550433</v>
      </c>
      <c r="K32" s="36">
        <v>80</v>
      </c>
      <c r="L32" s="36">
        <f t="shared" si="20"/>
        <v>16.416916684445741</v>
      </c>
      <c r="M32" s="33">
        <v>60</v>
      </c>
      <c r="N32" s="33"/>
      <c r="O32" s="27"/>
      <c r="S32" s="20">
        <f t="shared" si="21"/>
        <v>578.7037037037037</v>
      </c>
      <c r="T32" s="20">
        <f t="shared" si="22"/>
        <v>403.93518518518516</v>
      </c>
      <c r="U32" s="20">
        <f t="shared" ref="U32:W32" si="72">$R$1*1000*$AO$2*($AE$2-1)/$T32/D99/$V$2/$T$2/$AE$2</f>
        <v>0.33022691075684901</v>
      </c>
      <c r="V32" s="20">
        <f t="shared" si="72"/>
        <v>0.3322325005135332</v>
      </c>
      <c r="W32" s="20">
        <f t="shared" si="72"/>
        <v>0.33422628442681745</v>
      </c>
      <c r="X32" s="20">
        <f t="shared" si="24"/>
        <v>0.33620746726359468</v>
      </c>
      <c r="Y32" s="20">
        <f t="shared" si="25"/>
        <v>0.33817525439326401</v>
      </c>
      <c r="Z32" s="20">
        <f t="shared" si="26"/>
        <v>0.34012885248217334</v>
      </c>
      <c r="AA32" s="20">
        <f t="shared" si="27"/>
        <v>0.34206747016800354</v>
      </c>
      <c r="AB32" s="20">
        <f t="shared" si="28"/>
        <v>0.37846477288690528</v>
      </c>
      <c r="AC32" s="20">
        <f t="shared" si="29"/>
        <v>0.33123113165937801</v>
      </c>
      <c r="AD32" s="20">
        <f t="shared" si="30"/>
        <v>3.3395361348877022</v>
      </c>
      <c r="AE32" s="20">
        <f t="shared" si="31"/>
        <v>3.3608650187215634</v>
      </c>
      <c r="AF32" s="20">
        <f t="shared" si="32"/>
        <v>3.3821712651797231</v>
      </c>
      <c r="AG32" s="20">
        <f t="shared" si="33"/>
        <v>3.4034448310569592</v>
      </c>
      <c r="AH32" s="20">
        <f t="shared" si="34"/>
        <v>3.4246755160043771</v>
      </c>
      <c r="AI32" s="20">
        <f t="shared" si="35"/>
        <v>3.4458529717384256</v>
      </c>
      <c r="AJ32" s="20">
        <f t="shared" si="36"/>
        <v>3.4669667114542206</v>
      </c>
      <c r="AK32" s="20">
        <f t="shared" si="37"/>
        <v>3.8820321721908813</v>
      </c>
      <c r="AL32" s="20">
        <f t="shared" si="38"/>
        <v>3.3502027851618399</v>
      </c>
      <c r="AM32" s="18">
        <f t="shared" si="39"/>
        <v>14.972139237439734</v>
      </c>
      <c r="AN32" s="18">
        <f t="shared" si="40"/>
        <v>17.852546789523654</v>
      </c>
      <c r="AO32" s="18">
        <f t="shared" si="41"/>
        <v>20.696763857190511</v>
      </c>
      <c r="AP32" s="18">
        <f t="shared" si="42"/>
        <v>23.505596232965978</v>
      </c>
      <c r="AQ32" s="18">
        <f t="shared" si="43"/>
        <v>26.279862013030776</v>
      </c>
      <c r="AR32" s="18">
        <f t="shared" si="44"/>
        <v>29.020390835059398</v>
      </c>
      <c r="AS32" s="18">
        <f t="shared" si="45"/>
        <v>31.728023126550433</v>
      </c>
      <c r="AT32" s="18">
        <f t="shared" si="46"/>
        <v>20.607763267157786</v>
      </c>
      <c r="AU32" s="18">
        <f t="shared" si="47"/>
        <v>16.416916684445741</v>
      </c>
    </row>
    <row r="33" spans="1:47" s="20" customFormat="1" ht="15.75" thickBot="1" x14ac:dyDescent="0.3">
      <c r="A33" s="33"/>
      <c r="B33" s="37">
        <v>52</v>
      </c>
      <c r="C33" s="35">
        <f t="shared" si="13"/>
        <v>52000000</v>
      </c>
      <c r="D33" s="36">
        <f t="shared" si="14"/>
        <v>15.570204670509508</v>
      </c>
      <c r="E33" s="36">
        <f t="shared" si="14"/>
        <v>18.564115234550922</v>
      </c>
      <c r="F33" s="36">
        <f t="shared" si="15"/>
        <v>21.519916641557671</v>
      </c>
      <c r="G33" s="36">
        <f t="shared" si="16"/>
        <v>24.438473641812266</v>
      </c>
      <c r="H33" s="36">
        <f t="shared" si="17"/>
        <v>27.320667267016066</v>
      </c>
      <c r="I33" s="36">
        <f t="shared" si="18"/>
        <v>30.167393940758181</v>
      </c>
      <c r="J33" s="36">
        <f t="shared" si="19"/>
        <v>32.979564595140126</v>
      </c>
      <c r="K33" s="36">
        <v>80</v>
      </c>
      <c r="L33" s="36">
        <f t="shared" si="20"/>
        <v>17.071976983672968</v>
      </c>
      <c r="M33" s="33">
        <v>60</v>
      </c>
      <c r="N33" s="33"/>
      <c r="O33" s="27"/>
      <c r="P33" s="27"/>
      <c r="S33" s="20">
        <f t="shared" si="21"/>
        <v>601.85185185185185</v>
      </c>
      <c r="T33" s="20">
        <f t="shared" si="22"/>
        <v>420.09259259259255</v>
      </c>
      <c r="U33" s="20">
        <f t="shared" ref="U33:W33" si="73">$R$1*1000*$AO$2*($AE$2-1)/$T33/D100/$V$2/$T$2/$AE$2</f>
        <v>0.31795430324221841</v>
      </c>
      <c r="V33" s="20">
        <f t="shared" si="73"/>
        <v>0.31996756106941371</v>
      </c>
      <c r="W33" s="20">
        <f t="shared" si="73"/>
        <v>0.32196887445101935</v>
      </c>
      <c r="X33" s="20">
        <f t="shared" si="24"/>
        <v>0.32395734655362951</v>
      </c>
      <c r="Y33" s="20">
        <f t="shared" si="25"/>
        <v>0.32593207961520237</v>
      </c>
      <c r="Z33" s="20">
        <f t="shared" si="26"/>
        <v>0.32789217583432612</v>
      </c>
      <c r="AA33" s="20">
        <f t="shared" si="27"/>
        <v>0.32983673823958465</v>
      </c>
      <c r="AB33" s="20">
        <f t="shared" si="28"/>
        <v>0.36390843546817825</v>
      </c>
      <c r="AC33" s="20">
        <f t="shared" si="29"/>
        <v>0.31896236922037624</v>
      </c>
      <c r="AD33" s="20">
        <f t="shared" si="30"/>
        <v>3.2112615767152812</v>
      </c>
      <c r="AE33" s="20">
        <f t="shared" si="31"/>
        <v>3.2320419929483077</v>
      </c>
      <c r="AF33" s="20">
        <f t="shared" si="32"/>
        <v>3.2528007039219275</v>
      </c>
      <c r="AG33" s="20">
        <f t="shared" si="33"/>
        <v>3.273526864751751</v>
      </c>
      <c r="AH33" s="20">
        <f t="shared" si="34"/>
        <v>3.2942094393373762</v>
      </c>
      <c r="AI33" s="20">
        <f t="shared" si="35"/>
        <v>3.3148372112081339</v>
      </c>
      <c r="AJ33" s="20">
        <f t="shared" si="36"/>
        <v>3.3353987946890489</v>
      </c>
      <c r="AK33" s="20">
        <f t="shared" si="37"/>
        <v>3.7117287671322066</v>
      </c>
      <c r="AL33" s="20">
        <f t="shared" si="38"/>
        <v>3.2216538279427183</v>
      </c>
      <c r="AM33" s="18">
        <f t="shared" si="39"/>
        <v>15.570204670509508</v>
      </c>
      <c r="AN33" s="18">
        <f t="shared" si="40"/>
        <v>18.564115234550922</v>
      </c>
      <c r="AO33" s="18">
        <f t="shared" si="41"/>
        <v>21.519916641557671</v>
      </c>
      <c r="AP33" s="18">
        <f t="shared" si="42"/>
        <v>24.438473641812266</v>
      </c>
      <c r="AQ33" s="18">
        <f t="shared" si="43"/>
        <v>27.320667267016066</v>
      </c>
      <c r="AR33" s="18">
        <f t="shared" si="44"/>
        <v>30.167393940758181</v>
      </c>
      <c r="AS33" s="18">
        <f t="shared" si="45"/>
        <v>32.979564595140126</v>
      </c>
      <c r="AT33" s="18">
        <f t="shared" si="46"/>
        <v>21.553299020232668</v>
      </c>
      <c r="AU33" s="18">
        <f t="shared" si="47"/>
        <v>17.071976983672968</v>
      </c>
    </row>
    <row r="34" spans="1:47" s="20" customFormat="1" ht="15.75" thickBot="1" x14ac:dyDescent="0.3">
      <c r="A34" s="33"/>
      <c r="B34" s="37">
        <v>54</v>
      </c>
      <c r="C34" s="35">
        <f t="shared" si="13"/>
        <v>54000000</v>
      </c>
      <c r="D34" s="36">
        <f t="shared" si="14"/>
        <v>16.151104943493195</v>
      </c>
      <c r="E34" s="36">
        <f t="shared" si="14"/>
        <v>19.255321965461974</v>
      </c>
      <c r="F34" s="36">
        <f t="shared" si="15"/>
        <v>22.319584998375319</v>
      </c>
      <c r="G34" s="36">
        <f t="shared" si="16"/>
        <v>25.344816693761523</v>
      </c>
      <c r="H34" s="36">
        <f t="shared" si="17"/>
        <v>28.331960510923366</v>
      </c>
      <c r="I34" s="36">
        <f t="shared" si="18"/>
        <v>31.281979700018134</v>
      </c>
      <c r="J34" s="36">
        <f t="shared" si="19"/>
        <v>34.195856284362883</v>
      </c>
      <c r="K34" s="36">
        <v>80</v>
      </c>
      <c r="L34" s="36">
        <f t="shared" si="20"/>
        <v>17.708264528318821</v>
      </c>
      <c r="M34" s="33">
        <v>60</v>
      </c>
      <c r="N34" s="33"/>
      <c r="O34" s="27"/>
      <c r="S34" s="20">
        <f t="shared" si="21"/>
        <v>625</v>
      </c>
      <c r="T34" s="20">
        <f t="shared" si="22"/>
        <v>436.24999999999994</v>
      </c>
      <c r="U34" s="20">
        <f t="shared" ref="U34:W34" si="74">$R$1*1000*$AO$2*($AE$2-1)/$T34/D101/$V$2/$T$2/$AE$2</f>
        <v>0.30657963084643802</v>
      </c>
      <c r="V34" s="20">
        <f t="shared" si="74"/>
        <v>0.30859789405812871</v>
      </c>
      <c r="W34" s="20">
        <f t="shared" si="74"/>
        <v>0.31060410587092585</v>
      </c>
      <c r="X34" s="20">
        <f t="shared" si="24"/>
        <v>0.31259726409570171</v>
      </c>
      <c r="Y34" s="20">
        <f t="shared" si="25"/>
        <v>0.31457636366799585</v>
      </c>
      <c r="Z34" s="20">
        <f t="shared" si="26"/>
        <v>0.31654039776200504</v>
      </c>
      <c r="AA34" s="20">
        <f t="shared" si="27"/>
        <v>0.31848835888691668</v>
      </c>
      <c r="AB34" s="20">
        <f t="shared" si="28"/>
        <v>0.35043034526565314</v>
      </c>
      <c r="AC34" s="20">
        <f t="shared" si="29"/>
        <v>0.30759020638339535</v>
      </c>
      <c r="AD34" s="20">
        <f t="shared" si="30"/>
        <v>3.0957634276374097</v>
      </c>
      <c r="AE34" s="20">
        <f t="shared" si="31"/>
        <v>3.1160216436588928</v>
      </c>
      <c r="AF34" s="20">
        <f t="shared" si="32"/>
        <v>3.1362590301340916</v>
      </c>
      <c r="AG34" s="20">
        <f t="shared" si="33"/>
        <v>3.1564639415873752</v>
      </c>
      <c r="AH34" s="20">
        <f t="shared" si="34"/>
        <v>3.1766245038108312</v>
      </c>
      <c r="AI34" s="20">
        <f t="shared" si="35"/>
        <v>3.1967286264795458</v>
      </c>
      <c r="AJ34" s="20">
        <f t="shared" si="36"/>
        <v>3.2167640162384505</v>
      </c>
      <c r="AK34" s="20">
        <f t="shared" si="37"/>
        <v>3.5591821546951614</v>
      </c>
      <c r="AL34" s="20">
        <f t="shared" si="38"/>
        <v>3.1058944207686037</v>
      </c>
      <c r="AM34" s="18">
        <f t="shared" si="39"/>
        <v>16.151104943493195</v>
      </c>
      <c r="AN34" s="18">
        <f t="shared" si="40"/>
        <v>19.255321965461974</v>
      </c>
      <c r="AO34" s="18">
        <f t="shared" si="41"/>
        <v>22.319584998375319</v>
      </c>
      <c r="AP34" s="18">
        <f t="shared" si="42"/>
        <v>25.344816693761523</v>
      </c>
      <c r="AQ34" s="18">
        <f t="shared" si="43"/>
        <v>28.331960510923366</v>
      </c>
      <c r="AR34" s="18">
        <f t="shared" si="44"/>
        <v>31.281979700018134</v>
      </c>
      <c r="AS34" s="18">
        <f t="shared" si="45"/>
        <v>34.195856284362883</v>
      </c>
      <c r="AT34" s="18">
        <f t="shared" si="46"/>
        <v>22.477073811596441</v>
      </c>
      <c r="AU34" s="18">
        <f t="shared" si="47"/>
        <v>17.708264528318821</v>
      </c>
    </row>
    <row r="35" spans="1:47" s="20" customFormat="1" ht="15.75" thickBot="1" x14ac:dyDescent="0.3">
      <c r="A35" s="33"/>
      <c r="B35" s="37">
        <v>56</v>
      </c>
      <c r="C35" s="35">
        <f t="shared" si="13"/>
        <v>56000000</v>
      </c>
      <c r="D35" s="36">
        <f t="shared" si="14"/>
        <v>16.715267320163029</v>
      </c>
      <c r="E35" s="36">
        <f t="shared" si="14"/>
        <v>19.926683301210225</v>
      </c>
      <c r="F35" s="36">
        <f t="shared" si="15"/>
        <v>23.096375303926479</v>
      </c>
      <c r="G35" s="36">
        <f t="shared" si="16"/>
        <v>26.22532272350146</v>
      </c>
      <c r="H35" s="36">
        <f t="shared" si="17"/>
        <v>29.314530837496726</v>
      </c>
      <c r="I35" s="36">
        <f t="shared" si="18"/>
        <v>32.365029665000776</v>
      </c>
      <c r="J35" s="36">
        <f t="shared" si="19"/>
        <v>35.377872814998142</v>
      </c>
      <c r="K35" s="36">
        <v>80</v>
      </c>
      <c r="L35" s="36">
        <f t="shared" si="20"/>
        <v>18.326250978279116</v>
      </c>
      <c r="M35" s="33">
        <v>60</v>
      </c>
      <c r="N35" s="33"/>
      <c r="O35" s="27"/>
      <c r="P35" s="27"/>
      <c r="S35" s="20">
        <f t="shared" si="21"/>
        <v>648.14814814814815</v>
      </c>
      <c r="T35" s="20">
        <f t="shared" si="22"/>
        <v>452.40740740740739</v>
      </c>
      <c r="U35" s="20">
        <f t="shared" ref="U35:W35" si="75">$R$1*1000*$AO$2*($AE$2-1)/$T35/D102/$V$2/$T$2/$AE$2</f>
        <v>0.29600687524495573</v>
      </c>
      <c r="V35" s="20">
        <f t="shared" si="75"/>
        <v>0.29802779970953547</v>
      </c>
      <c r="W35" s="20">
        <f t="shared" si="75"/>
        <v>0.30003659310707381</v>
      </c>
      <c r="X35" s="20">
        <f t="shared" si="24"/>
        <v>0.30203214463061445</v>
      </c>
      <c r="Y35" s="20">
        <f t="shared" si="25"/>
        <v>0.30401333821404947</v>
      </c>
      <c r="Z35" s="20">
        <f t="shared" si="26"/>
        <v>0.30597905390135899</v>
      </c>
      <c r="AA35" s="20">
        <f t="shared" si="27"/>
        <v>0.30792816920321181</v>
      </c>
      <c r="AB35" s="20">
        <f t="shared" si="28"/>
        <v>0.33791497579187968</v>
      </c>
      <c r="AC35" s="20">
        <f t="shared" si="29"/>
        <v>0.29701878467823128</v>
      </c>
      <c r="AD35" s="20">
        <f t="shared" si="30"/>
        <v>2.9912773180532262</v>
      </c>
      <c r="AE35" s="20">
        <f t="shared" si="31"/>
        <v>3.0110379681879107</v>
      </c>
      <c r="AF35" s="20">
        <f t="shared" si="32"/>
        <v>3.0307785996229333</v>
      </c>
      <c r="AG35" s="20">
        <f t="shared" si="33"/>
        <v>3.0504867697322595</v>
      </c>
      <c r="AH35" s="20">
        <f t="shared" si="34"/>
        <v>3.0701497663022272</v>
      </c>
      <c r="AI35" s="20">
        <f t="shared" si="35"/>
        <v>3.0897546220431558</v>
      </c>
      <c r="AJ35" s="20">
        <f t="shared" si="36"/>
        <v>3.1092881297647286</v>
      </c>
      <c r="AK35" s="20">
        <f t="shared" si="37"/>
        <v>3.4218615538350092</v>
      </c>
      <c r="AL35" s="20">
        <f t="shared" si="38"/>
        <v>3.0011593787069617</v>
      </c>
      <c r="AM35" s="18">
        <f t="shared" si="39"/>
        <v>16.715267320163029</v>
      </c>
      <c r="AN35" s="18">
        <f t="shared" si="40"/>
        <v>19.926683301210225</v>
      </c>
      <c r="AO35" s="18">
        <f t="shared" si="41"/>
        <v>23.096375303926479</v>
      </c>
      <c r="AP35" s="18">
        <f t="shared" si="42"/>
        <v>26.22532272350146</v>
      </c>
      <c r="AQ35" s="18">
        <f t="shared" si="43"/>
        <v>29.314530837496726</v>
      </c>
      <c r="AR35" s="18">
        <f t="shared" si="44"/>
        <v>32.365029665000776</v>
      </c>
      <c r="AS35" s="18">
        <f t="shared" si="45"/>
        <v>35.377872814998142</v>
      </c>
      <c r="AT35" s="18">
        <f t="shared" si="46"/>
        <v>23.379087301279323</v>
      </c>
      <c r="AU35" s="18">
        <f t="shared" si="47"/>
        <v>18.326250978279116</v>
      </c>
    </row>
    <row r="36" spans="1:47" s="20" customFormat="1" ht="15.75" thickBot="1" x14ac:dyDescent="0.3">
      <c r="A36" s="33"/>
      <c r="B36" s="37">
        <v>58</v>
      </c>
      <c r="C36" s="35">
        <f t="shared" si="13"/>
        <v>58000000</v>
      </c>
      <c r="D36" s="36">
        <f t="shared" si="14"/>
        <v>17.263150678627351</v>
      </c>
      <c r="E36" s="36">
        <f t="shared" si="14"/>
        <v>20.578750948704396</v>
      </c>
      <c r="F36" s="36">
        <f t="shared" si="15"/>
        <v>23.850932342376542</v>
      </c>
      <c r="G36" s="36">
        <f t="shared" si="16"/>
        <v>27.080729772135477</v>
      </c>
      <c r="H36" s="36">
        <f t="shared" si="17"/>
        <v>30.269209650920132</v>
      </c>
      <c r="I36" s="36">
        <f t="shared" si="18"/>
        <v>33.417468634346072</v>
      </c>
      <c r="J36" s="36">
        <f t="shared" si="19"/>
        <v>36.526632338572718</v>
      </c>
      <c r="K36" s="36">
        <v>80</v>
      </c>
      <c r="L36" s="36">
        <f t="shared" si="20"/>
        <v>18.926441590999051</v>
      </c>
      <c r="M36" s="33">
        <v>60</v>
      </c>
      <c r="N36" s="33"/>
      <c r="O36" s="27"/>
      <c r="S36" s="20">
        <f t="shared" si="21"/>
        <v>671.29629629629619</v>
      </c>
      <c r="T36" s="20">
        <f t="shared" si="22"/>
        <v>468.56481481481472</v>
      </c>
      <c r="U36" s="20">
        <f t="shared" ref="U36:W36" si="76">$R$1*1000*$AO$2*($AE$2-1)/$T36/D103/$V$2/$T$2/$AE$2</f>
        <v>0.28615329482767882</v>
      </c>
      <c r="V36" s="20">
        <f t="shared" si="76"/>
        <v>0.28817481690231062</v>
      </c>
      <c r="W36" s="20">
        <f t="shared" si="76"/>
        <v>0.29018415161564598</v>
      </c>
      <c r="X36" s="20">
        <f t="shared" si="24"/>
        <v>0.29218007674721092</v>
      </c>
      <c r="Y36" s="20">
        <f t="shared" si="25"/>
        <v>0.2941613619804227</v>
      </c>
      <c r="Z36" s="20">
        <f t="shared" si="26"/>
        <v>0.29612677055792008</v>
      </c>
      <c r="AA36" s="20">
        <f t="shared" si="27"/>
        <v>0.29807506093280439</v>
      </c>
      <c r="AB36" s="20">
        <f t="shared" si="28"/>
        <v>0.32626273524733224</v>
      </c>
      <c r="AC36" s="20">
        <f t="shared" si="29"/>
        <v>0.28716550325785378</v>
      </c>
      <c r="AD36" s="20">
        <f t="shared" si="30"/>
        <v>2.896342674104242</v>
      </c>
      <c r="AE36" s="20">
        <f t="shared" si="31"/>
        <v>2.915628851797611</v>
      </c>
      <c r="AF36" s="20">
        <f t="shared" si="32"/>
        <v>2.9348957514599658</v>
      </c>
      <c r="AG36" s="20">
        <f t="shared" si="33"/>
        <v>2.9541301387791781</v>
      </c>
      <c r="AH36" s="20">
        <f t="shared" si="34"/>
        <v>2.9733184657916616</v>
      </c>
      <c r="AI36" s="20">
        <f t="shared" si="35"/>
        <v>2.9924468874108916</v>
      </c>
      <c r="AJ36" s="20">
        <f t="shared" si="36"/>
        <v>3.0115012788583364</v>
      </c>
      <c r="AK36" s="20">
        <f t="shared" si="37"/>
        <v>3.2976823221939924</v>
      </c>
      <c r="AL36" s="20">
        <f t="shared" si="38"/>
        <v>2.9059873582447024</v>
      </c>
      <c r="AM36" s="18">
        <f t="shared" si="39"/>
        <v>17.263150678627351</v>
      </c>
      <c r="AN36" s="18">
        <f t="shared" si="40"/>
        <v>20.578750948704396</v>
      </c>
      <c r="AO36" s="18">
        <f t="shared" si="41"/>
        <v>23.850932342376542</v>
      </c>
      <c r="AP36" s="18">
        <f t="shared" si="42"/>
        <v>27.080729772135477</v>
      </c>
      <c r="AQ36" s="18">
        <f t="shared" si="43"/>
        <v>30.269209650920132</v>
      </c>
      <c r="AR36" s="18">
        <f t="shared" si="44"/>
        <v>33.417468634346072</v>
      </c>
      <c r="AS36" s="18">
        <f t="shared" si="45"/>
        <v>36.526632338572718</v>
      </c>
      <c r="AT36" s="18">
        <f t="shared" si="46"/>
        <v>24.25946230829625</v>
      </c>
      <c r="AU36" s="18">
        <f t="shared" si="47"/>
        <v>18.926441590999051</v>
      </c>
    </row>
    <row r="37" spans="1:47" s="20" customFormat="1" ht="15.75" thickBot="1" x14ac:dyDescent="0.3">
      <c r="A37" s="33"/>
      <c r="B37" s="37">
        <v>60</v>
      </c>
      <c r="C37" s="35">
        <f t="shared" si="13"/>
        <v>60000000</v>
      </c>
      <c r="D37" s="36">
        <f t="shared" si="14"/>
        <v>17.795234053890894</v>
      </c>
      <c r="E37" s="36">
        <f t="shared" si="14"/>
        <v>21.212098741486443</v>
      </c>
      <c r="F37" s="36">
        <f t="shared" si="15"/>
        <v>24.58392438535256</v>
      </c>
      <c r="G37" s="36">
        <f t="shared" si="16"/>
        <v>27.911800146456759</v>
      </c>
      <c r="H37" s="36">
        <f t="shared" si="17"/>
        <v>31.196852839229191</v>
      </c>
      <c r="I37" s="36">
        <f t="shared" si="18"/>
        <v>34.440245567369708</v>
      </c>
      <c r="J37" s="36">
        <f t="shared" si="19"/>
        <v>37.64317631767743</v>
      </c>
      <c r="K37" s="36">
        <v>80</v>
      </c>
      <c r="L37" s="36">
        <f t="shared" si="20"/>
        <v>19.509362843592697</v>
      </c>
      <c r="M37" s="33">
        <v>60</v>
      </c>
      <c r="N37" s="33"/>
      <c r="S37" s="20">
        <f t="shared" si="21"/>
        <v>694.44444444444446</v>
      </c>
      <c r="T37" s="20">
        <f t="shared" si="22"/>
        <v>484.72222222222217</v>
      </c>
      <c r="U37" s="20">
        <f t="shared" ref="U37:W37" si="77">$R$1*1000*$AO$2*($AE$2-1)/$T37/D104/$V$2/$T$2/$AE$2</f>
        <v>0.27694720302001985</v>
      </c>
      <c r="V37" s="20">
        <f t="shared" si="77"/>
        <v>0.27896750626644423</v>
      </c>
      <c r="W37" s="20">
        <f t="shared" si="77"/>
        <v>0.28097558575102255</v>
      </c>
      <c r="X37" s="20">
        <f t="shared" si="24"/>
        <v>0.28297010548164597</v>
      </c>
      <c r="Y37" s="20">
        <f t="shared" si="25"/>
        <v>0.28494971806923958</v>
      </c>
      <c r="Z37" s="20">
        <f t="shared" si="26"/>
        <v>0.28691306670008238</v>
      </c>
      <c r="AA37" s="20">
        <f t="shared" si="27"/>
        <v>0.28885878711691759</v>
      </c>
      <c r="AB37" s="20">
        <f t="shared" si="28"/>
        <v>0.31538731073908777</v>
      </c>
      <c r="AC37" s="20">
        <f t="shared" si="29"/>
        <v>0.27795879961274084</v>
      </c>
      <c r="AD37" s="20">
        <f t="shared" si="30"/>
        <v>2.8097410716026849</v>
      </c>
      <c r="AE37" s="20">
        <f t="shared" si="31"/>
        <v>2.8285744249649611</v>
      </c>
      <c r="AF37" s="20">
        <f t="shared" si="32"/>
        <v>2.8473891679274348</v>
      </c>
      <c r="AG37" s="20">
        <f t="shared" si="33"/>
        <v>2.8661712816883842</v>
      </c>
      <c r="AH37" s="20">
        <f t="shared" si="34"/>
        <v>2.8849063866733204</v>
      </c>
      <c r="AI37" s="20">
        <f t="shared" si="35"/>
        <v>2.9035797611949854</v>
      </c>
      <c r="AJ37" s="20">
        <f t="shared" si="36"/>
        <v>2.9221763613062439</v>
      </c>
      <c r="AK37" s="20">
        <f t="shared" si="37"/>
        <v>3.1849137353641281</v>
      </c>
      <c r="AL37" s="20">
        <f t="shared" si="38"/>
        <v>2.8191592129859435</v>
      </c>
      <c r="AM37" s="18">
        <f t="shared" si="39"/>
        <v>17.795234053890894</v>
      </c>
      <c r="AN37" s="18">
        <f t="shared" si="40"/>
        <v>21.212098741486443</v>
      </c>
      <c r="AO37" s="18">
        <f t="shared" si="41"/>
        <v>24.58392438535256</v>
      </c>
      <c r="AP37" s="18">
        <f t="shared" si="42"/>
        <v>27.911800146456759</v>
      </c>
      <c r="AQ37" s="18">
        <f t="shared" si="43"/>
        <v>31.196852839229191</v>
      </c>
      <c r="AR37" s="18">
        <f t="shared" si="44"/>
        <v>34.440245567369708</v>
      </c>
      <c r="AS37" s="18">
        <f t="shared" si="45"/>
        <v>37.64317631767743</v>
      </c>
      <c r="AT37" s="18">
        <f t="shared" si="46"/>
        <v>25.118419727262623</v>
      </c>
      <c r="AU37" s="18">
        <f t="shared" si="47"/>
        <v>19.509362843592697</v>
      </c>
    </row>
    <row r="38" spans="1:47" s="20" customFormat="1" ht="15.75" thickBot="1" x14ac:dyDescent="0.3">
      <c r="A38" s="33"/>
      <c r="B38" s="37">
        <v>62</v>
      </c>
      <c r="C38" s="35">
        <f t="shared" si="13"/>
        <v>62000000</v>
      </c>
      <c r="D38" s="36">
        <f t="shared" si="14"/>
        <v>18.312007714173717</v>
      </c>
      <c r="E38" s="36">
        <f t="shared" si="14"/>
        <v>21.827312342554038</v>
      </c>
      <c r="F38" s="36">
        <f t="shared" si="15"/>
        <v>25.296031642903269</v>
      </c>
      <c r="G38" s="36">
        <f t="shared" si="16"/>
        <v>28.719307734520662</v>
      </c>
      <c r="H38" s="36">
        <f t="shared" si="17"/>
        <v>32.098327066400898</v>
      </c>
      <c r="I38" s="36">
        <f t="shared" si="18"/>
        <v>35.434318960525417</v>
      </c>
      <c r="J38" s="36">
        <f t="shared" si="19"/>
        <v>38.728554091060346</v>
      </c>
      <c r="K38" s="36">
        <f t="shared" ref="K38:K42" si="78">AT38</f>
        <v>25.956257823206542</v>
      </c>
      <c r="L38" s="36">
        <f t="shared" si="20"/>
        <v>20.07555280686185</v>
      </c>
      <c r="M38" s="33">
        <v>60</v>
      </c>
      <c r="N38" s="33"/>
      <c r="S38" s="20">
        <f t="shared" si="21"/>
        <v>717.59259259259261</v>
      </c>
      <c r="T38" s="20">
        <f t="shared" si="22"/>
        <v>500.87962962962962</v>
      </c>
      <c r="U38" s="20">
        <f t="shared" ref="U38:W38" si="79">$R$1*1000*$AO$2*($AE$2-1)/$T38/D105/$V$2/$T$2/$AE$2</f>
        <v>0.26832617840816941</v>
      </c>
      <c r="V38" s="20">
        <f t="shared" si="79"/>
        <v>0.27034366448316399</v>
      </c>
      <c r="W38" s="20">
        <f t="shared" si="79"/>
        <v>0.27234890721175492</v>
      </c>
      <c r="X38" s="20">
        <f t="shared" si="24"/>
        <v>0.27434045488000303</v>
      </c>
      <c r="Y38" s="20">
        <f t="shared" si="25"/>
        <v>0.2763168406063648</v>
      </c>
      <c r="Z38" s="20">
        <f t="shared" si="26"/>
        <v>0.27827658466173949</v>
      </c>
      <c r="AA38" s="20">
        <f t="shared" si="27"/>
        <v>0.28021819681636084</v>
      </c>
      <c r="AB38" s="20">
        <f t="shared" si="28"/>
        <v>0.30521352652169786</v>
      </c>
      <c r="AC38" s="20">
        <f t="shared" si="29"/>
        <v>0.26933636178701931</v>
      </c>
      <c r="AD38" s="20">
        <f t="shared" si="30"/>
        <v>2.7304488279184915</v>
      </c>
      <c r="AE38" s="20">
        <f t="shared" si="31"/>
        <v>2.7488496548897294</v>
      </c>
      <c r="AF38" s="20">
        <f t="shared" si="32"/>
        <v>2.7672324650826527</v>
      </c>
      <c r="AG38" s="20">
        <f t="shared" si="33"/>
        <v>2.7855824638781193</v>
      </c>
      <c r="AH38" s="20">
        <f t="shared" si="34"/>
        <v>2.8038844458721965</v>
      </c>
      <c r="AI38" s="20">
        <f t="shared" si="35"/>
        <v>2.8221228157764831</v>
      </c>
      <c r="AJ38" s="20">
        <f t="shared" si="36"/>
        <v>2.8402816108590829</v>
      </c>
      <c r="AK38" s="20">
        <f t="shared" si="37"/>
        <v>3.0821083896182802</v>
      </c>
      <c r="AL38" s="20">
        <f t="shared" si="38"/>
        <v>2.739650585422531</v>
      </c>
      <c r="AM38" s="18">
        <f t="shared" si="39"/>
        <v>18.312007714173717</v>
      </c>
      <c r="AN38" s="18">
        <f t="shared" si="40"/>
        <v>21.827312342554038</v>
      </c>
      <c r="AO38" s="18">
        <f t="shared" si="41"/>
        <v>25.296031642903269</v>
      </c>
      <c r="AP38" s="18">
        <f t="shared" si="42"/>
        <v>28.719307734520662</v>
      </c>
      <c r="AQ38" s="18">
        <f t="shared" si="43"/>
        <v>32.098327066400898</v>
      </c>
      <c r="AR38" s="18">
        <f t="shared" si="44"/>
        <v>35.434318960525417</v>
      </c>
      <c r="AS38" s="18">
        <f t="shared" si="45"/>
        <v>38.728554091060346</v>
      </c>
      <c r="AT38" s="18">
        <f t="shared" si="46"/>
        <v>25.956257823206542</v>
      </c>
      <c r="AU38" s="18">
        <f t="shared" si="47"/>
        <v>20.07555280686185</v>
      </c>
    </row>
    <row r="39" spans="1:47" s="20" customFormat="1" ht="15.75" thickBot="1" x14ac:dyDescent="0.3">
      <c r="A39" s="33"/>
      <c r="B39" s="37">
        <v>64</v>
      </c>
      <c r="C39" s="35">
        <f t="shared" si="13"/>
        <v>64000000</v>
      </c>
      <c r="D39" s="36">
        <f t="shared" si="14"/>
        <v>18.81396624330598</v>
      </c>
      <c r="E39" s="36">
        <f t="shared" si="14"/>
        <v>22.424981288368791</v>
      </c>
      <c r="F39" s="36">
        <f t="shared" si="15"/>
        <v>25.987937370906835</v>
      </c>
      <c r="G39" s="36">
        <f t="shared" si="16"/>
        <v>29.504028273850583</v>
      </c>
      <c r="H39" s="36">
        <f t="shared" si="17"/>
        <v>32.974499294904675</v>
      </c>
      <c r="I39" s="36">
        <f t="shared" si="18"/>
        <v>36.400645714474294</v>
      </c>
      <c r="J39" s="36">
        <f t="shared" si="19"/>
        <v>39.783811172437311</v>
      </c>
      <c r="K39" s="36">
        <f t="shared" si="78"/>
        <v>29.662571580063233</v>
      </c>
      <c r="L39" s="36">
        <f t="shared" si="20"/>
        <v>20.6255536954775</v>
      </c>
      <c r="M39" s="33">
        <v>60</v>
      </c>
      <c r="N39" s="33"/>
      <c r="S39" s="20">
        <f t="shared" si="21"/>
        <v>740.74074074074076</v>
      </c>
      <c r="T39" s="20">
        <f t="shared" si="22"/>
        <v>517.03703703703707</v>
      </c>
      <c r="U39" s="20">
        <f t="shared" ref="U39:W39" si="80">$R$1*1000*$AO$2*($AE$2-1)/$T39/D106/$V$2/$T$2/$AE$2</f>
        <v>0.26023561185631822</v>
      </c>
      <c r="V39" s="20">
        <f t="shared" si="80"/>
        <v>0.26224887503844713</v>
      </c>
      <c r="W39" s="20">
        <f t="shared" si="80"/>
        <v>0.26424988939811822</v>
      </c>
      <c r="X39" s="20">
        <f t="shared" si="24"/>
        <v>0.26623708592766382</v>
      </c>
      <c r="Y39" s="20">
        <f t="shared" si="25"/>
        <v>0.26820887620996209</v>
      </c>
      <c r="Z39" s="20">
        <f t="shared" si="26"/>
        <v>0.27016365511661777</v>
      </c>
      <c r="AA39" s="20">
        <f t="shared" si="27"/>
        <v>0.27209980355708696</v>
      </c>
      <c r="AB39" s="20">
        <f t="shared" si="28"/>
        <v>0.26463224348824638</v>
      </c>
      <c r="AC39" s="20">
        <f t="shared" si="29"/>
        <v>0.26124367731788201</v>
      </c>
      <c r="AD39" s="20">
        <f t="shared" si="30"/>
        <v>2.657600176028275</v>
      </c>
      <c r="AE39" s="20">
        <f t="shared" si="31"/>
        <v>2.6755875168163601</v>
      </c>
      <c r="AF39" s="20">
        <f t="shared" si="32"/>
        <v>2.6935573608994501</v>
      </c>
      <c r="AG39" s="20">
        <f t="shared" si="33"/>
        <v>2.71149414776368</v>
      </c>
      <c r="AH39" s="20">
        <f t="shared" si="34"/>
        <v>2.7293818533859313</v>
      </c>
      <c r="AI39" s="20">
        <f t="shared" si="35"/>
        <v>2.7472040134781497</v>
      </c>
      <c r="AJ39" s="20">
        <f t="shared" si="36"/>
        <v>2.7649437486826121</v>
      </c>
      <c r="AK39" s="20">
        <f t="shared" si="37"/>
        <v>2.6970014984732305</v>
      </c>
      <c r="AL39" s="20">
        <f t="shared" si="38"/>
        <v>2.6665950796782574</v>
      </c>
      <c r="AM39" s="18">
        <f t="shared" si="39"/>
        <v>18.81396624330598</v>
      </c>
      <c r="AN39" s="18">
        <f t="shared" si="40"/>
        <v>22.424981288368791</v>
      </c>
      <c r="AO39" s="18">
        <f t="shared" si="41"/>
        <v>25.987937370906835</v>
      </c>
      <c r="AP39" s="18">
        <f t="shared" si="42"/>
        <v>29.504028273850583</v>
      </c>
      <c r="AQ39" s="18">
        <f t="shared" si="43"/>
        <v>32.974499294904675</v>
      </c>
      <c r="AR39" s="18">
        <f t="shared" si="44"/>
        <v>36.400645714474294</v>
      </c>
      <c r="AS39" s="18">
        <f t="shared" si="45"/>
        <v>39.783811172437311</v>
      </c>
      <c r="AT39" s="18">
        <f t="shared" si="46"/>
        <v>29.662571580063233</v>
      </c>
      <c r="AU39" s="18">
        <f t="shared" si="47"/>
        <v>20.6255536954775</v>
      </c>
    </row>
    <row r="40" spans="1:47" s="20" customFormat="1" ht="15.75" thickBot="1" x14ac:dyDescent="0.3">
      <c r="A40" s="33"/>
      <c r="B40" s="37">
        <v>66</v>
      </c>
      <c r="C40" s="35">
        <f t="shared" si="13"/>
        <v>66000000</v>
      </c>
      <c r="D40" s="36">
        <f t="shared" si="14"/>
        <v>19.30160321240988</v>
      </c>
      <c r="E40" s="36">
        <f t="shared" si="14"/>
        <v>23.005692883259314</v>
      </c>
      <c r="F40" s="36">
        <f t="shared" si="15"/>
        <v>26.660321073071877</v>
      </c>
      <c r="G40" s="36">
        <f t="shared" si="16"/>
        <v>30.266731942224006</v>
      </c>
      <c r="H40" s="36">
        <f t="shared" si="17"/>
        <v>33.826228843251215</v>
      </c>
      <c r="I40" s="36">
        <f t="shared" si="18"/>
        <v>37.340172733599466</v>
      </c>
      <c r="J40" s="36">
        <f t="shared" si="19"/>
        <v>40.809980464791892</v>
      </c>
      <c r="K40" s="36">
        <f t="shared" si="78"/>
        <v>30.257627311712099</v>
      </c>
      <c r="L40" s="36">
        <f t="shared" si="20"/>
        <v>21.159906140162164</v>
      </c>
      <c r="M40" s="33">
        <v>60</v>
      </c>
      <c r="N40" s="33"/>
      <c r="S40" s="20">
        <f t="shared" si="21"/>
        <v>763.88888888888891</v>
      </c>
      <c r="T40" s="20">
        <f t="shared" si="22"/>
        <v>533.19444444444446</v>
      </c>
      <c r="U40" s="20">
        <f t="shared" ref="U40:W40" si="81">$R$1*1000*$AO$2*($AE$2-1)/$T40/D107/$V$2/$T$2/$AE$2</f>
        <v>0.252627518859737</v>
      </c>
      <c r="V40" s="20">
        <f t="shared" si="81"/>
        <v>0.25463532373930658</v>
      </c>
      <c r="W40" s="20">
        <f t="shared" si="81"/>
        <v>0.25663088605811979</v>
      </c>
      <c r="X40" s="20">
        <f t="shared" si="24"/>
        <v>0.25861251829216148</v>
      </c>
      <c r="Y40" s="20">
        <f t="shared" si="25"/>
        <v>0.26057850879746847</v>
      </c>
      <c r="Z40" s="20">
        <f t="shared" si="26"/>
        <v>0.26252712491639113</v>
      </c>
      <c r="AA40" s="20">
        <f t="shared" si="27"/>
        <v>0.26445661616583022</v>
      </c>
      <c r="AB40" s="20">
        <f t="shared" si="28"/>
        <v>0.25870212902508144</v>
      </c>
      <c r="AC40" s="20">
        <f t="shared" si="29"/>
        <v>0.25363284717451356</v>
      </c>
      <c r="AD40" s="20">
        <f t="shared" si="30"/>
        <v>2.5904583909305896</v>
      </c>
      <c r="AE40" s="20">
        <f t="shared" si="31"/>
        <v>2.6080501163110172</v>
      </c>
      <c r="AF40" s="20">
        <f t="shared" si="32"/>
        <v>2.6256247930450902</v>
      </c>
      <c r="AG40" s="20">
        <f t="shared" si="33"/>
        <v>2.6431661057001974</v>
      </c>
      <c r="AH40" s="20">
        <f t="shared" si="34"/>
        <v>2.6606572200837046</v>
      </c>
      <c r="AI40" s="20">
        <f t="shared" si="35"/>
        <v>2.6780808089304289</v>
      </c>
      <c r="AJ40" s="20">
        <f t="shared" si="36"/>
        <v>2.695419080018933</v>
      </c>
      <c r="AK40" s="20">
        <f t="shared" si="37"/>
        <v>2.6439614440301358</v>
      </c>
      <c r="AL40" s="20">
        <f t="shared" si="38"/>
        <v>2.599255385902127</v>
      </c>
      <c r="AM40" s="18">
        <f t="shared" si="39"/>
        <v>19.30160321240988</v>
      </c>
      <c r="AN40" s="18">
        <f t="shared" si="40"/>
        <v>23.005692883259314</v>
      </c>
      <c r="AO40" s="18">
        <f t="shared" si="41"/>
        <v>26.660321073071877</v>
      </c>
      <c r="AP40" s="18">
        <f t="shared" si="42"/>
        <v>30.266731942224006</v>
      </c>
      <c r="AQ40" s="18">
        <f t="shared" si="43"/>
        <v>33.826228843251215</v>
      </c>
      <c r="AR40" s="18">
        <f t="shared" si="44"/>
        <v>37.340172733599466</v>
      </c>
      <c r="AS40" s="18">
        <f t="shared" si="45"/>
        <v>40.809980464791892</v>
      </c>
      <c r="AT40" s="18">
        <f t="shared" si="46"/>
        <v>30.257627311712099</v>
      </c>
      <c r="AU40" s="18">
        <f t="shared" si="47"/>
        <v>21.159906140162164</v>
      </c>
    </row>
    <row r="41" spans="1:47" s="20" customFormat="1" ht="15.75" thickBot="1" x14ac:dyDescent="0.3">
      <c r="A41" s="33"/>
      <c r="B41" s="37">
        <v>68</v>
      </c>
      <c r="C41" s="35">
        <f t="shared" si="13"/>
        <v>68000000</v>
      </c>
      <c r="D41" s="36">
        <f t="shared" si="14"/>
        <v>19.775407111131578</v>
      </c>
      <c r="E41" s="36">
        <f t="shared" si="14"/>
        <v>23.570027556875353</v>
      </c>
      <c r="F41" s="36">
        <f t="shared" si="15"/>
        <v>27.313853355154748</v>
      </c>
      <c r="G41" s="36">
        <f t="shared" si="16"/>
        <v>31.008177776121563</v>
      </c>
      <c r="H41" s="36">
        <f t="shared" si="17"/>
        <v>34.654361433495502</v>
      </c>
      <c r="I41" s="36">
        <f t="shared" si="18"/>
        <v>38.253830665131382</v>
      </c>
      <c r="J41" s="36">
        <f t="shared" si="19"/>
        <v>41.80807575179572</v>
      </c>
      <c r="K41" s="36">
        <f t="shared" si="78"/>
        <v>31.008701277739164</v>
      </c>
      <c r="L41" s="36">
        <f t="shared" si="20"/>
        <v>21.679144823005437</v>
      </c>
      <c r="M41" s="33">
        <v>60</v>
      </c>
      <c r="N41" s="33"/>
      <c r="S41" s="20">
        <f t="shared" si="21"/>
        <v>787.03703703703707</v>
      </c>
      <c r="T41" s="20">
        <f t="shared" si="22"/>
        <v>549.35185185185185</v>
      </c>
      <c r="U41" s="20">
        <f t="shared" ref="U41:W41" si="82">$R$1*1000*$AO$2*($AE$2-1)/$T41/D108/$V$2/$T$2/$AE$2</f>
        <v>0.24545956231596566</v>
      </c>
      <c r="V41" s="20">
        <f t="shared" si="82"/>
        <v>0.24746082423513652</v>
      </c>
      <c r="W41" s="20">
        <f t="shared" si="82"/>
        <v>0.24944985952586843</v>
      </c>
      <c r="X41" s="20">
        <f t="shared" si="24"/>
        <v>0.25142486124644381</v>
      </c>
      <c r="Y41" s="20">
        <f t="shared" si="25"/>
        <v>0.25338399316216903</v>
      </c>
      <c r="Z41" s="20">
        <f t="shared" si="26"/>
        <v>0.2553253932891083</v>
      </c>
      <c r="AA41" s="20">
        <f t="shared" si="27"/>
        <v>0.25724717755865545</v>
      </c>
      <c r="AB41" s="20">
        <f t="shared" si="28"/>
        <v>0.25141986167906261</v>
      </c>
      <c r="AC41" s="20">
        <f t="shared" si="29"/>
        <v>0.24646160990858115</v>
      </c>
      <c r="AD41" s="20">
        <f t="shared" si="30"/>
        <v>2.5283929538853838</v>
      </c>
      <c r="AE41" s="20">
        <f t="shared" si="31"/>
        <v>2.545605848581117</v>
      </c>
      <c r="AF41" s="20">
        <f t="shared" si="32"/>
        <v>2.5628020729923628</v>
      </c>
      <c r="AG41" s="20">
        <f t="shared" si="33"/>
        <v>2.5799645686243946</v>
      </c>
      <c r="AH41" s="20">
        <f t="shared" si="34"/>
        <v>2.5970757006363314</v>
      </c>
      <c r="AI41" s="20">
        <f t="shared" si="35"/>
        <v>2.6141172860670046</v>
      </c>
      <c r="AJ41" s="20">
        <f t="shared" si="36"/>
        <v>2.6310706250400755</v>
      </c>
      <c r="AK41" s="20">
        <f t="shared" si="37"/>
        <v>2.5799210126040073</v>
      </c>
      <c r="AL41" s="20">
        <f t="shared" si="38"/>
        <v>2.5370004420854828</v>
      </c>
      <c r="AM41" s="18">
        <f t="shared" si="39"/>
        <v>19.775407111131578</v>
      </c>
      <c r="AN41" s="18">
        <f t="shared" si="40"/>
        <v>23.570027556875353</v>
      </c>
      <c r="AO41" s="18">
        <f t="shared" si="41"/>
        <v>27.313853355154748</v>
      </c>
      <c r="AP41" s="18">
        <f t="shared" si="42"/>
        <v>31.008177776121563</v>
      </c>
      <c r="AQ41" s="18">
        <f t="shared" si="43"/>
        <v>34.654361433495502</v>
      </c>
      <c r="AR41" s="18">
        <f t="shared" si="44"/>
        <v>38.253830665131382</v>
      </c>
      <c r="AS41" s="18">
        <f t="shared" si="45"/>
        <v>41.80807575179572</v>
      </c>
      <c r="AT41" s="18">
        <f t="shared" si="46"/>
        <v>31.008701277739164</v>
      </c>
      <c r="AU41" s="18">
        <f t="shared" si="47"/>
        <v>21.679144823005437</v>
      </c>
    </row>
    <row r="42" spans="1:47" s="20" customFormat="1" ht="15.75" thickBot="1" x14ac:dyDescent="0.3">
      <c r="B42" s="37">
        <v>70</v>
      </c>
      <c r="C42" s="28">
        <f t="shared" si="13"/>
        <v>70000000</v>
      </c>
      <c r="D42" s="27">
        <f t="shared" si="14"/>
        <v>20.23585827711717</v>
      </c>
      <c r="E42" s="27">
        <f t="shared" si="14"/>
        <v>24.118555378446342</v>
      </c>
      <c r="F42" s="27">
        <f t="shared" si="15"/>
        <v>27.949192082433306</v>
      </c>
      <c r="G42" s="27">
        <f t="shared" si="16"/>
        <v>31.729109527312367</v>
      </c>
      <c r="H42" s="27">
        <f t="shared" si="17"/>
        <v>35.459724800671268</v>
      </c>
      <c r="I42" s="27">
        <f t="shared" si="18"/>
        <v>39.142529313359887</v>
      </c>
      <c r="J42" s="27">
        <f t="shared" si="19"/>
        <v>42.779086967245462</v>
      </c>
      <c r="K42" s="27">
        <f t="shared" si="78"/>
        <v>31.729079413350519</v>
      </c>
      <c r="L42" s="27">
        <f t="shared" si="20"/>
        <v>22.183795191853534</v>
      </c>
      <c r="M42" s="20">
        <v>60</v>
      </c>
      <c r="S42" s="20">
        <f t="shared" si="21"/>
        <v>810.18518518518511</v>
      </c>
      <c r="T42" s="20">
        <f t="shared" si="22"/>
        <v>565.50925925925912</v>
      </c>
      <c r="U42" s="20">
        <f t="shared" ref="U42:W42" si="83">$R$1*1000*$AO$2*($AE$2-1)/$T42/D109/$V$2/$T$2/$AE$2</f>
        <v>0.23869424346791396</v>
      </c>
      <c r="V42" s="20">
        <f t="shared" si="83"/>
        <v>0.24068801135188028</v>
      </c>
      <c r="W42" s="20">
        <f t="shared" si="83"/>
        <v>0.2426695764150312</v>
      </c>
      <c r="X42" s="20">
        <f t="shared" si="24"/>
        <v>0.24463701169110372</v>
      </c>
      <c r="Y42" s="20">
        <f t="shared" si="25"/>
        <v>0.24658835529449513</v>
      </c>
      <c r="Z42" s="20">
        <f t="shared" si="26"/>
        <v>0.24852161443024728</v>
      </c>
      <c r="AA42" s="20">
        <f t="shared" si="27"/>
        <v>0.25043476957245603</v>
      </c>
      <c r="AB42" s="20">
        <f t="shared" si="28"/>
        <v>0.2446372912307275</v>
      </c>
      <c r="AC42" s="20">
        <f t="shared" si="29"/>
        <v>0.23969253379693836</v>
      </c>
      <c r="AD42" s="20">
        <f t="shared" si="30"/>
        <v>2.4708613450085433</v>
      </c>
      <c r="AE42" s="20">
        <f t="shared" si="31"/>
        <v>2.4877111857876559</v>
      </c>
      <c r="AF42" s="20">
        <f t="shared" si="32"/>
        <v>2.5045446678223149</v>
      </c>
      <c r="AG42" s="20">
        <f t="shared" si="33"/>
        <v>2.5213440021421376</v>
      </c>
      <c r="AH42" s="20">
        <f t="shared" si="34"/>
        <v>2.5380907637020429</v>
      </c>
      <c r="AI42" s="20">
        <f t="shared" si="35"/>
        <v>2.5547659222386687</v>
      </c>
      <c r="AJ42" s="20">
        <f t="shared" si="36"/>
        <v>2.5713498767335397</v>
      </c>
      <c r="AK42" s="20">
        <f t="shared" si="37"/>
        <v>2.5213463951411939</v>
      </c>
      <c r="AL42" s="20">
        <f t="shared" si="38"/>
        <v>2.479287224045299</v>
      </c>
      <c r="AM42" s="18">
        <f>AD$3/AD42*10</f>
        <v>20.23585827711717</v>
      </c>
      <c r="AN42" s="18">
        <f t="shared" si="40"/>
        <v>24.118555378446342</v>
      </c>
      <c r="AO42" s="18">
        <f t="shared" si="41"/>
        <v>27.949192082433306</v>
      </c>
      <c r="AP42" s="18">
        <f t="shared" si="42"/>
        <v>31.729109527312367</v>
      </c>
      <c r="AQ42" s="18">
        <f t="shared" si="43"/>
        <v>35.459724800671268</v>
      </c>
      <c r="AR42" s="18">
        <f t="shared" si="44"/>
        <v>39.142529313359887</v>
      </c>
      <c r="AS42" s="18">
        <f t="shared" si="45"/>
        <v>42.779086967245462</v>
      </c>
      <c r="AT42" s="18">
        <f t="shared" si="46"/>
        <v>31.729079413350519</v>
      </c>
      <c r="AU42" s="18">
        <f t="shared" si="47"/>
        <v>22.183795191853534</v>
      </c>
    </row>
    <row r="43" spans="1:47" s="20" customFormat="1" ht="15.75" thickBot="1" x14ac:dyDescent="0.3">
      <c r="B43" s="14"/>
      <c r="C43" s="28"/>
      <c r="D43" s="27"/>
      <c r="E43" s="27"/>
      <c r="F43" s="27"/>
      <c r="G43" s="27"/>
      <c r="H43" s="27"/>
      <c r="I43" s="27"/>
      <c r="J43" s="27"/>
      <c r="K43" s="27"/>
      <c r="L43" s="27"/>
      <c r="S43" s="20">
        <f t="shared" si="21"/>
        <v>0</v>
      </c>
      <c r="T43" s="20">
        <f t="shared" si="22"/>
        <v>0</v>
      </c>
      <c r="U43" s="20" t="e">
        <f t="shared" ref="U43:W43" si="84">$R$1*1000*$AO$2*($AE$2-1)/$T43/D110/$V$2/$T$2/$AE$2</f>
        <v>#DIV/0!</v>
      </c>
      <c r="V43" s="20" t="e">
        <f t="shared" si="84"/>
        <v>#DIV/0!</v>
      </c>
      <c r="W43" s="20" t="e">
        <f t="shared" si="84"/>
        <v>#DIV/0!</v>
      </c>
      <c r="X43" s="20" t="e">
        <f t="shared" si="24"/>
        <v>#DIV/0!</v>
      </c>
      <c r="Y43" s="20" t="e">
        <f t="shared" si="25"/>
        <v>#DIV/0!</v>
      </c>
      <c r="Z43" s="20" t="e">
        <f t="shared" si="26"/>
        <v>#DIV/0!</v>
      </c>
      <c r="AA43" s="20" t="e">
        <f t="shared" si="27"/>
        <v>#DIV/0!</v>
      </c>
      <c r="AB43" s="20" t="e">
        <f t="shared" si="28"/>
        <v>#DIV/0!</v>
      </c>
      <c r="AC43" s="20" t="e">
        <f t="shared" si="29"/>
        <v>#DIV/0!</v>
      </c>
      <c r="AD43" s="20" t="e">
        <f t="shared" si="30"/>
        <v>#DIV/0!</v>
      </c>
      <c r="AE43" s="20" t="e">
        <f t="shared" si="31"/>
        <v>#DIV/0!</v>
      </c>
      <c r="AF43" s="20" t="e">
        <f t="shared" si="32"/>
        <v>#DIV/0!</v>
      </c>
      <c r="AG43" s="20" t="e">
        <f t="shared" si="33"/>
        <v>#DIV/0!</v>
      </c>
      <c r="AH43" s="20" t="e">
        <f t="shared" si="34"/>
        <v>#DIV/0!</v>
      </c>
      <c r="AI43" s="20" t="e">
        <f t="shared" si="35"/>
        <v>#DIV/0!</v>
      </c>
      <c r="AJ43" s="20" t="e">
        <f t="shared" si="36"/>
        <v>#DIV/0!</v>
      </c>
      <c r="AK43" s="20" t="e">
        <f t="shared" si="37"/>
        <v>#DIV/0!</v>
      </c>
      <c r="AL43" s="20" t="e">
        <f t="shared" si="38"/>
        <v>#DIV/0!</v>
      </c>
      <c r="AM43" s="18" t="e">
        <f t="shared" si="39"/>
        <v>#DIV/0!</v>
      </c>
      <c r="AN43" s="18" t="e">
        <f t="shared" si="40"/>
        <v>#DIV/0!</v>
      </c>
      <c r="AO43" s="18" t="e">
        <f t="shared" si="41"/>
        <v>#DIV/0!</v>
      </c>
      <c r="AP43" s="18" t="e">
        <f t="shared" si="42"/>
        <v>#DIV/0!</v>
      </c>
      <c r="AQ43" s="18" t="e">
        <f t="shared" si="43"/>
        <v>#DIV/0!</v>
      </c>
      <c r="AR43" s="18" t="e">
        <f t="shared" si="44"/>
        <v>#DIV/0!</v>
      </c>
      <c r="AS43" s="18" t="e">
        <f t="shared" si="45"/>
        <v>#DIV/0!</v>
      </c>
      <c r="AT43" s="18" t="e">
        <f t="shared" si="46"/>
        <v>#DIV/0!</v>
      </c>
      <c r="AU43" s="18" t="e">
        <f t="shared" si="47"/>
        <v>#DIV/0!</v>
      </c>
    </row>
    <row r="44" spans="1:47" s="20" customFormat="1" ht="15.75" thickBot="1" x14ac:dyDescent="0.3">
      <c r="B44" s="14"/>
      <c r="C44" s="28"/>
      <c r="D44" s="27"/>
      <c r="E44" s="27"/>
      <c r="F44" s="27"/>
      <c r="G44" s="27"/>
      <c r="H44" s="27"/>
      <c r="I44" s="27"/>
      <c r="J44" s="27"/>
      <c r="K44" s="27"/>
      <c r="L44" s="27"/>
      <c r="S44" s="20">
        <f t="shared" si="21"/>
        <v>0</v>
      </c>
      <c r="T44" s="20">
        <f t="shared" si="22"/>
        <v>0</v>
      </c>
      <c r="U44" s="20" t="e">
        <f t="shared" ref="U44:W44" si="85">$R$1*1000*$AO$2*($AE$2-1)/$T44/D111/$V$2/$T$2/$AE$2</f>
        <v>#DIV/0!</v>
      </c>
      <c r="V44" s="20" t="e">
        <f t="shared" si="85"/>
        <v>#DIV/0!</v>
      </c>
      <c r="W44" s="20" t="e">
        <f t="shared" si="85"/>
        <v>#DIV/0!</v>
      </c>
      <c r="X44" s="20" t="e">
        <f t="shared" si="24"/>
        <v>#DIV/0!</v>
      </c>
      <c r="Y44" s="20" t="e">
        <f t="shared" si="25"/>
        <v>#DIV/0!</v>
      </c>
      <c r="Z44" s="20" t="e">
        <f t="shared" si="26"/>
        <v>#DIV/0!</v>
      </c>
      <c r="AA44" s="20" t="e">
        <f t="shared" si="27"/>
        <v>#DIV/0!</v>
      </c>
      <c r="AB44" s="20" t="e">
        <f t="shared" si="28"/>
        <v>#DIV/0!</v>
      </c>
      <c r="AC44" s="20" t="e">
        <f t="shared" si="29"/>
        <v>#DIV/0!</v>
      </c>
      <c r="AD44" s="20" t="e">
        <f t="shared" si="30"/>
        <v>#DIV/0!</v>
      </c>
      <c r="AE44" s="20" t="e">
        <f t="shared" si="31"/>
        <v>#DIV/0!</v>
      </c>
      <c r="AF44" s="20" t="e">
        <f t="shared" si="32"/>
        <v>#DIV/0!</v>
      </c>
      <c r="AG44" s="20" t="e">
        <f t="shared" si="33"/>
        <v>#DIV/0!</v>
      </c>
      <c r="AH44" s="20" t="e">
        <f t="shared" si="34"/>
        <v>#DIV/0!</v>
      </c>
      <c r="AI44" s="20" t="e">
        <f t="shared" si="35"/>
        <v>#DIV/0!</v>
      </c>
      <c r="AJ44" s="20" t="e">
        <f t="shared" si="36"/>
        <v>#DIV/0!</v>
      </c>
      <c r="AK44" s="20" t="e">
        <f t="shared" si="37"/>
        <v>#DIV/0!</v>
      </c>
      <c r="AL44" s="20" t="e">
        <f t="shared" si="38"/>
        <v>#DIV/0!</v>
      </c>
      <c r="AM44" s="18" t="e">
        <f t="shared" si="39"/>
        <v>#DIV/0!</v>
      </c>
      <c r="AN44" s="18" t="e">
        <f t="shared" si="40"/>
        <v>#DIV/0!</v>
      </c>
      <c r="AO44" s="18" t="e">
        <f t="shared" si="41"/>
        <v>#DIV/0!</v>
      </c>
      <c r="AP44" s="18" t="e">
        <f t="shared" si="42"/>
        <v>#DIV/0!</v>
      </c>
      <c r="AQ44" s="18" t="e">
        <f t="shared" si="43"/>
        <v>#DIV/0!</v>
      </c>
      <c r="AR44" s="18" t="e">
        <f t="shared" si="44"/>
        <v>#DIV/0!</v>
      </c>
      <c r="AS44" s="18" t="e">
        <f t="shared" si="45"/>
        <v>#DIV/0!</v>
      </c>
      <c r="AT44" s="18" t="e">
        <f t="shared" si="46"/>
        <v>#DIV/0!</v>
      </c>
      <c r="AU44" s="18" t="e">
        <f t="shared" si="47"/>
        <v>#DIV/0!</v>
      </c>
    </row>
    <row r="45" spans="1:47" s="20" customFormat="1" ht="15.75" thickBot="1" x14ac:dyDescent="0.3">
      <c r="B45" s="14"/>
      <c r="C45" s="28"/>
      <c r="D45" s="27"/>
      <c r="E45" s="27"/>
      <c r="F45" s="27"/>
      <c r="G45" s="27"/>
      <c r="H45" s="27"/>
      <c r="I45" s="27"/>
      <c r="J45" s="27"/>
      <c r="K45" s="27"/>
      <c r="L45" s="27"/>
      <c r="S45" s="20">
        <f t="shared" si="21"/>
        <v>0</v>
      </c>
      <c r="T45" s="20">
        <f t="shared" si="22"/>
        <v>0</v>
      </c>
      <c r="U45" s="20" t="e">
        <f t="shared" ref="U45:W45" si="86">$R$1*1000*$AO$2*($AE$2-1)/$T45/D112/$V$2/$T$2/$AE$2</f>
        <v>#DIV/0!</v>
      </c>
      <c r="V45" s="20" t="e">
        <f t="shared" si="86"/>
        <v>#DIV/0!</v>
      </c>
      <c r="W45" s="20" t="e">
        <f t="shared" si="86"/>
        <v>#DIV/0!</v>
      </c>
      <c r="X45" s="20" t="e">
        <f t="shared" si="24"/>
        <v>#DIV/0!</v>
      </c>
      <c r="Y45" s="20" t="e">
        <f t="shared" si="25"/>
        <v>#DIV/0!</v>
      </c>
      <c r="Z45" s="20" t="e">
        <f t="shared" si="26"/>
        <v>#DIV/0!</v>
      </c>
      <c r="AA45" s="20" t="e">
        <f t="shared" si="27"/>
        <v>#DIV/0!</v>
      </c>
      <c r="AB45" s="20" t="e">
        <f t="shared" si="28"/>
        <v>#DIV/0!</v>
      </c>
      <c r="AC45" s="20" t="e">
        <f t="shared" si="29"/>
        <v>#DIV/0!</v>
      </c>
      <c r="AD45" s="20" t="e">
        <f t="shared" si="30"/>
        <v>#DIV/0!</v>
      </c>
      <c r="AE45" s="20" t="e">
        <f t="shared" si="31"/>
        <v>#DIV/0!</v>
      </c>
      <c r="AF45" s="20" t="e">
        <f t="shared" si="32"/>
        <v>#DIV/0!</v>
      </c>
      <c r="AG45" s="20" t="e">
        <f t="shared" si="33"/>
        <v>#DIV/0!</v>
      </c>
      <c r="AH45" s="20" t="e">
        <f t="shared" si="34"/>
        <v>#DIV/0!</v>
      </c>
      <c r="AI45" s="20" t="e">
        <f t="shared" si="35"/>
        <v>#DIV/0!</v>
      </c>
      <c r="AJ45" s="20" t="e">
        <f t="shared" si="36"/>
        <v>#DIV/0!</v>
      </c>
      <c r="AK45" s="20" t="e">
        <f t="shared" si="37"/>
        <v>#DIV/0!</v>
      </c>
      <c r="AL45" s="20" t="e">
        <f t="shared" si="38"/>
        <v>#DIV/0!</v>
      </c>
      <c r="AM45" s="18" t="e">
        <f t="shared" si="39"/>
        <v>#DIV/0!</v>
      </c>
      <c r="AN45" s="18" t="e">
        <f t="shared" si="40"/>
        <v>#DIV/0!</v>
      </c>
      <c r="AO45" s="18" t="e">
        <f t="shared" si="41"/>
        <v>#DIV/0!</v>
      </c>
      <c r="AP45" s="18" t="e">
        <f t="shared" si="42"/>
        <v>#DIV/0!</v>
      </c>
      <c r="AQ45" s="18" t="e">
        <f t="shared" si="43"/>
        <v>#DIV/0!</v>
      </c>
      <c r="AR45" s="18" t="e">
        <f t="shared" si="44"/>
        <v>#DIV/0!</v>
      </c>
      <c r="AS45" s="18" t="e">
        <f t="shared" si="45"/>
        <v>#DIV/0!</v>
      </c>
      <c r="AT45" s="18" t="e">
        <f t="shared" si="46"/>
        <v>#DIV/0!</v>
      </c>
      <c r="AU45" s="18" t="e">
        <f t="shared" si="47"/>
        <v>#DIV/0!</v>
      </c>
    </row>
    <row r="46" spans="1:47" s="20" customFormat="1" ht="15.75" thickBot="1" x14ac:dyDescent="0.3">
      <c r="B46" s="14"/>
      <c r="C46" s="28"/>
      <c r="D46" s="27"/>
      <c r="E46" s="27"/>
      <c r="F46" s="27"/>
      <c r="G46" s="27"/>
      <c r="H46" s="27"/>
      <c r="I46" s="27"/>
      <c r="J46" s="27"/>
      <c r="K46" s="27"/>
      <c r="L46" s="27"/>
      <c r="S46" s="20">
        <f t="shared" si="21"/>
        <v>0</v>
      </c>
      <c r="T46" s="20">
        <f t="shared" si="22"/>
        <v>0</v>
      </c>
      <c r="U46" s="20" t="e">
        <f t="shared" ref="U46:W46" si="87">$R$1*1000*$AO$2*($AE$2-1)/$T46/D113/$V$2/$T$2/$AE$2</f>
        <v>#DIV/0!</v>
      </c>
      <c r="V46" s="20" t="e">
        <f t="shared" si="87"/>
        <v>#DIV/0!</v>
      </c>
      <c r="W46" s="20" t="e">
        <f t="shared" si="87"/>
        <v>#DIV/0!</v>
      </c>
      <c r="X46" s="20" t="e">
        <f t="shared" si="24"/>
        <v>#DIV/0!</v>
      </c>
      <c r="Y46" s="20" t="e">
        <f t="shared" si="25"/>
        <v>#DIV/0!</v>
      </c>
      <c r="Z46" s="20" t="e">
        <f t="shared" si="26"/>
        <v>#DIV/0!</v>
      </c>
      <c r="AA46" s="20" t="e">
        <f t="shared" si="27"/>
        <v>#DIV/0!</v>
      </c>
      <c r="AB46" s="20" t="e">
        <f t="shared" si="28"/>
        <v>#DIV/0!</v>
      </c>
      <c r="AC46" s="20" t="e">
        <f t="shared" si="29"/>
        <v>#DIV/0!</v>
      </c>
      <c r="AD46" s="20" t="e">
        <f t="shared" si="30"/>
        <v>#DIV/0!</v>
      </c>
      <c r="AE46" s="20" t="e">
        <f t="shared" si="31"/>
        <v>#DIV/0!</v>
      </c>
      <c r="AF46" s="20" t="e">
        <f t="shared" si="32"/>
        <v>#DIV/0!</v>
      </c>
      <c r="AG46" s="20" t="e">
        <f t="shared" si="33"/>
        <v>#DIV/0!</v>
      </c>
      <c r="AH46" s="20" t="e">
        <f t="shared" si="34"/>
        <v>#DIV/0!</v>
      </c>
      <c r="AI46" s="20" t="e">
        <f t="shared" si="35"/>
        <v>#DIV/0!</v>
      </c>
      <c r="AJ46" s="20" t="e">
        <f t="shared" si="36"/>
        <v>#DIV/0!</v>
      </c>
      <c r="AK46" s="20" t="e">
        <f t="shared" si="37"/>
        <v>#DIV/0!</v>
      </c>
      <c r="AL46" s="20" t="e">
        <f t="shared" si="38"/>
        <v>#DIV/0!</v>
      </c>
      <c r="AM46" s="18" t="e">
        <f t="shared" si="39"/>
        <v>#DIV/0!</v>
      </c>
      <c r="AN46" s="18" t="e">
        <f t="shared" si="40"/>
        <v>#DIV/0!</v>
      </c>
      <c r="AO46" s="18" t="e">
        <f t="shared" si="41"/>
        <v>#DIV/0!</v>
      </c>
      <c r="AP46" s="18" t="e">
        <f t="shared" si="42"/>
        <v>#DIV/0!</v>
      </c>
      <c r="AQ46" s="18" t="e">
        <f t="shared" si="43"/>
        <v>#DIV/0!</v>
      </c>
      <c r="AR46" s="18" t="e">
        <f t="shared" si="44"/>
        <v>#DIV/0!</v>
      </c>
      <c r="AS46" s="18" t="e">
        <f t="shared" si="45"/>
        <v>#DIV/0!</v>
      </c>
      <c r="AT46" s="18" t="e">
        <f t="shared" si="46"/>
        <v>#DIV/0!</v>
      </c>
      <c r="AU46" s="18" t="e">
        <f t="shared" si="47"/>
        <v>#DIV/0!</v>
      </c>
    </row>
    <row r="47" spans="1:47" s="20" customFormat="1" ht="15.75" thickBot="1" x14ac:dyDescent="0.3">
      <c r="B47" s="14"/>
      <c r="C47" s="28"/>
      <c r="D47" s="27"/>
      <c r="E47" s="27"/>
      <c r="F47" s="27"/>
      <c r="G47" s="27"/>
      <c r="H47" s="27"/>
      <c r="I47" s="27"/>
      <c r="J47" s="27"/>
      <c r="K47" s="27"/>
      <c r="L47" s="27"/>
      <c r="S47" s="20">
        <f t="shared" si="21"/>
        <v>0</v>
      </c>
      <c r="T47" s="20">
        <f t="shared" si="22"/>
        <v>0</v>
      </c>
      <c r="U47" s="20" t="e">
        <f t="shared" ref="U47:W47" si="88">$R$1*1000*$AO$2*($AE$2-1)/$T47/D114/$V$2/$T$2/$AE$2</f>
        <v>#DIV/0!</v>
      </c>
      <c r="V47" s="20" t="e">
        <f t="shared" si="88"/>
        <v>#DIV/0!</v>
      </c>
      <c r="W47" s="20" t="e">
        <f t="shared" si="88"/>
        <v>#DIV/0!</v>
      </c>
      <c r="X47" s="20" t="e">
        <f t="shared" si="24"/>
        <v>#DIV/0!</v>
      </c>
      <c r="Y47" s="20" t="e">
        <f t="shared" si="25"/>
        <v>#DIV/0!</v>
      </c>
      <c r="Z47" s="20" t="e">
        <f t="shared" si="26"/>
        <v>#DIV/0!</v>
      </c>
      <c r="AA47" s="20" t="e">
        <f t="shared" si="27"/>
        <v>#DIV/0!</v>
      </c>
      <c r="AB47" s="20" t="e">
        <f t="shared" si="28"/>
        <v>#DIV/0!</v>
      </c>
      <c r="AC47" s="20" t="e">
        <f t="shared" si="29"/>
        <v>#DIV/0!</v>
      </c>
      <c r="AD47" s="20" t="e">
        <f t="shared" si="30"/>
        <v>#DIV/0!</v>
      </c>
      <c r="AE47" s="20" t="e">
        <f t="shared" si="31"/>
        <v>#DIV/0!</v>
      </c>
      <c r="AF47" s="20" t="e">
        <f t="shared" si="32"/>
        <v>#DIV/0!</v>
      </c>
      <c r="AG47" s="20" t="e">
        <f t="shared" si="33"/>
        <v>#DIV/0!</v>
      </c>
      <c r="AH47" s="20" t="e">
        <f t="shared" si="34"/>
        <v>#DIV/0!</v>
      </c>
      <c r="AI47" s="20" t="e">
        <f t="shared" si="35"/>
        <v>#DIV/0!</v>
      </c>
      <c r="AJ47" s="20" t="e">
        <f t="shared" si="36"/>
        <v>#DIV/0!</v>
      </c>
      <c r="AK47" s="20" t="e">
        <f t="shared" si="37"/>
        <v>#DIV/0!</v>
      </c>
      <c r="AL47" s="20" t="e">
        <f t="shared" si="38"/>
        <v>#DIV/0!</v>
      </c>
      <c r="AM47" s="18" t="e">
        <f t="shared" si="39"/>
        <v>#DIV/0!</v>
      </c>
      <c r="AN47" s="18" t="e">
        <f t="shared" si="40"/>
        <v>#DIV/0!</v>
      </c>
      <c r="AO47" s="18" t="e">
        <f t="shared" si="41"/>
        <v>#DIV/0!</v>
      </c>
      <c r="AP47" s="18" t="e">
        <f t="shared" si="42"/>
        <v>#DIV/0!</v>
      </c>
      <c r="AQ47" s="18" t="e">
        <f t="shared" si="43"/>
        <v>#DIV/0!</v>
      </c>
      <c r="AR47" s="18" t="e">
        <f t="shared" si="44"/>
        <v>#DIV/0!</v>
      </c>
      <c r="AS47" s="18" t="e">
        <f t="shared" si="45"/>
        <v>#DIV/0!</v>
      </c>
      <c r="AT47" s="18" t="e">
        <f t="shared" si="46"/>
        <v>#DIV/0!</v>
      </c>
      <c r="AU47" s="18" t="e">
        <f t="shared" si="47"/>
        <v>#DIV/0!</v>
      </c>
    </row>
    <row r="48" spans="1:47" s="20" customFormat="1" ht="15.75" thickBot="1" x14ac:dyDescent="0.3">
      <c r="B48" s="14"/>
      <c r="C48" s="28"/>
      <c r="D48" s="27"/>
      <c r="E48" s="27"/>
      <c r="F48" s="27"/>
      <c r="G48" s="27"/>
      <c r="H48" s="27"/>
      <c r="I48" s="27"/>
      <c r="J48" s="27"/>
      <c r="K48" s="27"/>
      <c r="L48" s="27"/>
      <c r="S48" s="20">
        <f t="shared" si="21"/>
        <v>0</v>
      </c>
      <c r="T48" s="20">
        <f t="shared" si="22"/>
        <v>0</v>
      </c>
      <c r="U48" s="20" t="e">
        <f t="shared" ref="U48:W48" si="89">$R$1*1000*$AO$2*($AE$2-1)/$T48/D115/$V$2/$T$2/$AE$2</f>
        <v>#DIV/0!</v>
      </c>
      <c r="V48" s="20" t="e">
        <f t="shared" si="89"/>
        <v>#DIV/0!</v>
      </c>
      <c r="W48" s="20" t="e">
        <f t="shared" si="89"/>
        <v>#DIV/0!</v>
      </c>
      <c r="X48" s="20" t="e">
        <f t="shared" si="24"/>
        <v>#DIV/0!</v>
      </c>
      <c r="Y48" s="20" t="e">
        <f t="shared" si="25"/>
        <v>#DIV/0!</v>
      </c>
      <c r="Z48" s="20" t="e">
        <f t="shared" si="26"/>
        <v>#DIV/0!</v>
      </c>
      <c r="AA48" s="20" t="e">
        <f t="shared" si="27"/>
        <v>#DIV/0!</v>
      </c>
      <c r="AB48" s="20" t="e">
        <f t="shared" si="28"/>
        <v>#DIV/0!</v>
      </c>
      <c r="AC48" s="20" t="e">
        <f t="shared" si="29"/>
        <v>#DIV/0!</v>
      </c>
      <c r="AD48" s="20" t="e">
        <f t="shared" si="30"/>
        <v>#DIV/0!</v>
      </c>
      <c r="AE48" s="20" t="e">
        <f t="shared" si="31"/>
        <v>#DIV/0!</v>
      </c>
      <c r="AF48" s="20" t="e">
        <f t="shared" si="32"/>
        <v>#DIV/0!</v>
      </c>
      <c r="AG48" s="20" t="e">
        <f t="shared" si="33"/>
        <v>#DIV/0!</v>
      </c>
      <c r="AH48" s="20" t="e">
        <f t="shared" si="34"/>
        <v>#DIV/0!</v>
      </c>
      <c r="AI48" s="20" t="e">
        <f t="shared" si="35"/>
        <v>#DIV/0!</v>
      </c>
      <c r="AJ48" s="20" t="e">
        <f t="shared" si="36"/>
        <v>#DIV/0!</v>
      </c>
      <c r="AK48" s="20" t="e">
        <f t="shared" si="37"/>
        <v>#DIV/0!</v>
      </c>
      <c r="AL48" s="20" t="e">
        <f t="shared" si="38"/>
        <v>#DIV/0!</v>
      </c>
      <c r="AM48" s="18" t="e">
        <f t="shared" si="39"/>
        <v>#DIV/0!</v>
      </c>
      <c r="AN48" s="18" t="e">
        <f t="shared" si="40"/>
        <v>#DIV/0!</v>
      </c>
      <c r="AO48" s="18" t="e">
        <f t="shared" si="41"/>
        <v>#DIV/0!</v>
      </c>
      <c r="AP48" s="18" t="e">
        <f t="shared" si="42"/>
        <v>#DIV/0!</v>
      </c>
      <c r="AQ48" s="18" t="e">
        <f t="shared" si="43"/>
        <v>#DIV/0!</v>
      </c>
      <c r="AR48" s="18" t="e">
        <f t="shared" si="44"/>
        <v>#DIV/0!</v>
      </c>
      <c r="AS48" s="18" t="e">
        <f t="shared" si="45"/>
        <v>#DIV/0!</v>
      </c>
      <c r="AT48" s="18" t="e">
        <f t="shared" si="46"/>
        <v>#DIV/0!</v>
      </c>
      <c r="AU48" s="18" t="e">
        <f t="shared" si="47"/>
        <v>#DIV/0!</v>
      </c>
    </row>
    <row r="49" spans="2:47" s="20" customFormat="1" ht="15.75" thickBot="1" x14ac:dyDescent="0.3">
      <c r="B49" s="14"/>
      <c r="C49" s="28"/>
      <c r="D49" s="27"/>
      <c r="E49" s="27"/>
      <c r="F49" s="27"/>
      <c r="G49" s="27"/>
      <c r="H49" s="27"/>
      <c r="I49" s="27"/>
      <c r="J49" s="27"/>
      <c r="K49" s="27"/>
      <c r="L49" s="27"/>
      <c r="S49" s="20">
        <f t="shared" si="21"/>
        <v>0</v>
      </c>
      <c r="T49" s="20">
        <f t="shared" si="22"/>
        <v>0</v>
      </c>
      <c r="U49" s="20" t="e">
        <f t="shared" ref="U49:W49" si="90">$R$1*1000*$AO$2*($AE$2-1)/$T49/D116/$V$2/$T$2/$AE$2</f>
        <v>#DIV/0!</v>
      </c>
      <c r="V49" s="20" t="e">
        <f t="shared" si="90"/>
        <v>#DIV/0!</v>
      </c>
      <c r="W49" s="20" t="e">
        <f t="shared" si="90"/>
        <v>#DIV/0!</v>
      </c>
      <c r="X49" s="20" t="e">
        <f t="shared" si="24"/>
        <v>#DIV/0!</v>
      </c>
      <c r="Y49" s="20" t="e">
        <f t="shared" si="25"/>
        <v>#DIV/0!</v>
      </c>
      <c r="Z49" s="20" t="e">
        <f t="shared" si="26"/>
        <v>#DIV/0!</v>
      </c>
      <c r="AA49" s="20" t="e">
        <f t="shared" si="27"/>
        <v>#DIV/0!</v>
      </c>
      <c r="AB49" s="20" t="e">
        <f t="shared" si="28"/>
        <v>#DIV/0!</v>
      </c>
      <c r="AC49" s="20" t="e">
        <f t="shared" si="29"/>
        <v>#DIV/0!</v>
      </c>
      <c r="AD49" s="20" t="e">
        <f t="shared" si="30"/>
        <v>#DIV/0!</v>
      </c>
      <c r="AE49" s="20" t="e">
        <f t="shared" si="31"/>
        <v>#DIV/0!</v>
      </c>
      <c r="AF49" s="20" t="e">
        <f t="shared" si="32"/>
        <v>#DIV/0!</v>
      </c>
      <c r="AG49" s="20" t="e">
        <f t="shared" si="33"/>
        <v>#DIV/0!</v>
      </c>
      <c r="AH49" s="20" t="e">
        <f t="shared" si="34"/>
        <v>#DIV/0!</v>
      </c>
      <c r="AI49" s="20" t="e">
        <f t="shared" si="35"/>
        <v>#DIV/0!</v>
      </c>
      <c r="AJ49" s="20" t="e">
        <f t="shared" si="36"/>
        <v>#DIV/0!</v>
      </c>
      <c r="AK49" s="20" t="e">
        <f t="shared" si="37"/>
        <v>#DIV/0!</v>
      </c>
      <c r="AL49" s="20" t="e">
        <f t="shared" si="38"/>
        <v>#DIV/0!</v>
      </c>
      <c r="AM49" s="18" t="e">
        <f t="shared" si="39"/>
        <v>#DIV/0!</v>
      </c>
      <c r="AN49" s="18" t="e">
        <f t="shared" si="40"/>
        <v>#DIV/0!</v>
      </c>
      <c r="AO49" s="18" t="e">
        <f t="shared" si="41"/>
        <v>#DIV/0!</v>
      </c>
      <c r="AP49" s="18" t="e">
        <f t="shared" si="42"/>
        <v>#DIV/0!</v>
      </c>
      <c r="AQ49" s="18" t="e">
        <f t="shared" si="43"/>
        <v>#DIV/0!</v>
      </c>
      <c r="AR49" s="18" t="e">
        <f t="shared" si="44"/>
        <v>#DIV/0!</v>
      </c>
      <c r="AS49" s="18" t="e">
        <f t="shared" si="45"/>
        <v>#DIV/0!</v>
      </c>
      <c r="AT49" s="18" t="e">
        <f t="shared" si="46"/>
        <v>#DIV/0!</v>
      </c>
      <c r="AU49" s="18" t="e">
        <f t="shared" si="47"/>
        <v>#DIV/0!</v>
      </c>
    </row>
    <row r="50" spans="2:47" s="20" customFormat="1" ht="15.75" thickBot="1" x14ac:dyDescent="0.3">
      <c r="B50" s="14"/>
      <c r="C50" s="28"/>
      <c r="D50" s="27"/>
      <c r="E50" s="27"/>
      <c r="F50" s="27"/>
      <c r="G50" s="27"/>
      <c r="H50" s="27"/>
      <c r="I50" s="27"/>
      <c r="J50" s="27"/>
      <c r="K50" s="27"/>
      <c r="L50" s="27"/>
      <c r="S50" s="20">
        <f t="shared" si="21"/>
        <v>0</v>
      </c>
      <c r="T50" s="20">
        <f t="shared" si="22"/>
        <v>0</v>
      </c>
      <c r="U50" s="20" t="e">
        <f t="shared" ref="U50:W50" si="91">$R$1*1000*$AO$2*($AE$2-1)/$T50/D117/$V$2/$T$2/$AE$2</f>
        <v>#DIV/0!</v>
      </c>
      <c r="V50" s="20" t="e">
        <f t="shared" si="91"/>
        <v>#DIV/0!</v>
      </c>
      <c r="W50" s="20" t="e">
        <f t="shared" si="91"/>
        <v>#DIV/0!</v>
      </c>
      <c r="X50" s="20" t="e">
        <f t="shared" si="24"/>
        <v>#DIV/0!</v>
      </c>
      <c r="Y50" s="20" t="e">
        <f t="shared" si="25"/>
        <v>#DIV/0!</v>
      </c>
      <c r="Z50" s="20" t="e">
        <f t="shared" si="26"/>
        <v>#DIV/0!</v>
      </c>
      <c r="AA50" s="20" t="e">
        <f t="shared" si="27"/>
        <v>#DIV/0!</v>
      </c>
      <c r="AB50" s="20" t="e">
        <f t="shared" si="28"/>
        <v>#DIV/0!</v>
      </c>
      <c r="AC50" s="20" t="e">
        <f t="shared" si="29"/>
        <v>#DIV/0!</v>
      </c>
      <c r="AD50" s="20" t="e">
        <f t="shared" si="30"/>
        <v>#DIV/0!</v>
      </c>
      <c r="AE50" s="20" t="e">
        <f t="shared" si="31"/>
        <v>#DIV/0!</v>
      </c>
      <c r="AF50" s="20" t="e">
        <f t="shared" si="32"/>
        <v>#DIV/0!</v>
      </c>
      <c r="AG50" s="20" t="e">
        <f t="shared" si="33"/>
        <v>#DIV/0!</v>
      </c>
      <c r="AH50" s="20" t="e">
        <f t="shared" si="34"/>
        <v>#DIV/0!</v>
      </c>
      <c r="AI50" s="20" t="e">
        <f t="shared" si="35"/>
        <v>#DIV/0!</v>
      </c>
      <c r="AJ50" s="20" t="e">
        <f t="shared" si="36"/>
        <v>#DIV/0!</v>
      </c>
      <c r="AK50" s="20" t="e">
        <f t="shared" si="37"/>
        <v>#DIV/0!</v>
      </c>
      <c r="AL50" s="20" t="e">
        <f t="shared" si="38"/>
        <v>#DIV/0!</v>
      </c>
      <c r="AM50" s="18" t="e">
        <f t="shared" si="39"/>
        <v>#DIV/0!</v>
      </c>
      <c r="AN50" s="18" t="e">
        <f t="shared" si="40"/>
        <v>#DIV/0!</v>
      </c>
      <c r="AO50" s="18" t="e">
        <f t="shared" si="41"/>
        <v>#DIV/0!</v>
      </c>
      <c r="AP50" s="18" t="e">
        <f t="shared" si="42"/>
        <v>#DIV/0!</v>
      </c>
      <c r="AQ50" s="18" t="e">
        <f t="shared" si="43"/>
        <v>#DIV/0!</v>
      </c>
      <c r="AR50" s="18" t="e">
        <f t="shared" si="44"/>
        <v>#DIV/0!</v>
      </c>
      <c r="AS50" s="18" t="e">
        <f t="shared" si="45"/>
        <v>#DIV/0!</v>
      </c>
      <c r="AT50" s="18" t="e">
        <f t="shared" si="46"/>
        <v>#DIV/0!</v>
      </c>
      <c r="AU50" s="18" t="e">
        <f t="shared" si="47"/>
        <v>#DIV/0!</v>
      </c>
    </row>
    <row r="51" spans="2:47" s="20" customFormat="1" ht="15.75" thickBot="1" x14ac:dyDescent="0.3">
      <c r="B51" s="14"/>
      <c r="C51" s="28"/>
      <c r="D51" s="27"/>
      <c r="E51" s="27"/>
      <c r="F51" s="27"/>
      <c r="G51" s="27"/>
      <c r="H51" s="27"/>
      <c r="I51" s="27"/>
      <c r="J51" s="27"/>
      <c r="K51" s="27"/>
      <c r="L51" s="27"/>
      <c r="S51" s="20">
        <f t="shared" si="21"/>
        <v>0</v>
      </c>
      <c r="T51" s="20">
        <f t="shared" si="22"/>
        <v>0</v>
      </c>
      <c r="U51" s="20" t="e">
        <f t="shared" ref="U51:W51" si="92">$R$1*1000*$AO$2*($AE$2-1)/$T51/D118/$V$2/$T$2/$AE$2</f>
        <v>#DIV/0!</v>
      </c>
      <c r="V51" s="20" t="e">
        <f t="shared" si="92"/>
        <v>#DIV/0!</v>
      </c>
      <c r="W51" s="20" t="e">
        <f t="shared" si="92"/>
        <v>#DIV/0!</v>
      </c>
      <c r="X51" s="20" t="e">
        <f t="shared" si="24"/>
        <v>#DIV/0!</v>
      </c>
      <c r="Y51" s="20" t="e">
        <f t="shared" si="25"/>
        <v>#DIV/0!</v>
      </c>
      <c r="Z51" s="20" t="e">
        <f t="shared" si="26"/>
        <v>#DIV/0!</v>
      </c>
      <c r="AA51" s="20" t="e">
        <f t="shared" si="27"/>
        <v>#DIV/0!</v>
      </c>
      <c r="AB51" s="20" t="e">
        <f t="shared" si="28"/>
        <v>#DIV/0!</v>
      </c>
      <c r="AC51" s="20" t="e">
        <f t="shared" si="29"/>
        <v>#DIV/0!</v>
      </c>
      <c r="AD51" s="20" t="e">
        <f t="shared" si="30"/>
        <v>#DIV/0!</v>
      </c>
      <c r="AE51" s="20" t="e">
        <f t="shared" si="31"/>
        <v>#DIV/0!</v>
      </c>
      <c r="AF51" s="20" t="e">
        <f t="shared" si="32"/>
        <v>#DIV/0!</v>
      </c>
      <c r="AG51" s="20" t="e">
        <f t="shared" si="33"/>
        <v>#DIV/0!</v>
      </c>
      <c r="AH51" s="20" t="e">
        <f t="shared" si="34"/>
        <v>#DIV/0!</v>
      </c>
      <c r="AI51" s="20" t="e">
        <f t="shared" si="35"/>
        <v>#DIV/0!</v>
      </c>
      <c r="AJ51" s="20" t="e">
        <f t="shared" si="36"/>
        <v>#DIV/0!</v>
      </c>
      <c r="AK51" s="20" t="e">
        <f t="shared" si="37"/>
        <v>#DIV/0!</v>
      </c>
      <c r="AL51" s="20" t="e">
        <f t="shared" si="38"/>
        <v>#DIV/0!</v>
      </c>
      <c r="AM51" s="18" t="e">
        <f t="shared" si="39"/>
        <v>#DIV/0!</v>
      </c>
      <c r="AN51" s="18" t="e">
        <f t="shared" si="40"/>
        <v>#DIV/0!</v>
      </c>
      <c r="AO51" s="18" t="e">
        <f t="shared" si="41"/>
        <v>#DIV/0!</v>
      </c>
      <c r="AP51" s="18" t="e">
        <f t="shared" si="42"/>
        <v>#DIV/0!</v>
      </c>
      <c r="AQ51" s="18" t="e">
        <f t="shared" si="43"/>
        <v>#DIV/0!</v>
      </c>
      <c r="AR51" s="18" t="e">
        <f t="shared" si="44"/>
        <v>#DIV/0!</v>
      </c>
      <c r="AS51" s="18" t="e">
        <f t="shared" si="45"/>
        <v>#DIV/0!</v>
      </c>
      <c r="AT51" s="18" t="e">
        <f t="shared" si="46"/>
        <v>#DIV/0!</v>
      </c>
      <c r="AU51" s="18" t="e">
        <f t="shared" si="47"/>
        <v>#DIV/0!</v>
      </c>
    </row>
    <row r="52" spans="2:47" s="20" customFormat="1" ht="15.75" thickBot="1" x14ac:dyDescent="0.3">
      <c r="B52" s="14"/>
      <c r="C52" s="28"/>
      <c r="D52" s="27"/>
      <c r="E52" s="27"/>
      <c r="F52" s="27"/>
      <c r="G52" s="27"/>
      <c r="H52" s="27"/>
      <c r="I52" s="27"/>
      <c r="J52" s="27"/>
      <c r="K52" s="28"/>
      <c r="L52" s="27"/>
      <c r="M52" s="28"/>
      <c r="S52" s="20">
        <f t="shared" si="21"/>
        <v>0</v>
      </c>
      <c r="T52" s="20">
        <f t="shared" si="22"/>
        <v>0</v>
      </c>
      <c r="U52" s="20" t="e">
        <f t="shared" ref="U52:W52" si="93">$R$1*1000*$AO$2*($AE$2-1)/$T52/D119/$V$2/$T$2/$AE$2</f>
        <v>#DIV/0!</v>
      </c>
      <c r="V52" s="20" t="e">
        <f t="shared" si="93"/>
        <v>#DIV/0!</v>
      </c>
      <c r="W52" s="20" t="e">
        <f t="shared" si="93"/>
        <v>#DIV/0!</v>
      </c>
      <c r="X52" s="20" t="e">
        <f t="shared" si="24"/>
        <v>#DIV/0!</v>
      </c>
      <c r="Y52" s="20" t="e">
        <f t="shared" si="25"/>
        <v>#DIV/0!</v>
      </c>
      <c r="Z52" s="20" t="e">
        <f t="shared" si="26"/>
        <v>#DIV/0!</v>
      </c>
      <c r="AA52" s="20" t="e">
        <f t="shared" si="27"/>
        <v>#DIV/0!</v>
      </c>
      <c r="AB52" s="20" t="e">
        <f t="shared" si="28"/>
        <v>#DIV/0!</v>
      </c>
      <c r="AC52" s="20" t="e">
        <f t="shared" si="29"/>
        <v>#DIV/0!</v>
      </c>
      <c r="AD52" s="20" t="e">
        <f t="shared" si="30"/>
        <v>#DIV/0!</v>
      </c>
      <c r="AE52" s="20" t="e">
        <f t="shared" si="31"/>
        <v>#DIV/0!</v>
      </c>
      <c r="AF52" s="20" t="e">
        <f t="shared" si="32"/>
        <v>#DIV/0!</v>
      </c>
      <c r="AG52" s="20" t="e">
        <f t="shared" si="33"/>
        <v>#DIV/0!</v>
      </c>
      <c r="AH52" s="20" t="e">
        <f t="shared" si="34"/>
        <v>#DIV/0!</v>
      </c>
      <c r="AI52" s="20" t="e">
        <f t="shared" si="35"/>
        <v>#DIV/0!</v>
      </c>
      <c r="AJ52" s="20" t="e">
        <f t="shared" si="36"/>
        <v>#DIV/0!</v>
      </c>
      <c r="AK52" s="20" t="e">
        <f t="shared" si="37"/>
        <v>#DIV/0!</v>
      </c>
      <c r="AL52" s="20" t="e">
        <f t="shared" si="38"/>
        <v>#DIV/0!</v>
      </c>
      <c r="AM52" s="18" t="e">
        <f t="shared" si="39"/>
        <v>#DIV/0!</v>
      </c>
      <c r="AN52" s="18" t="e">
        <f t="shared" si="40"/>
        <v>#DIV/0!</v>
      </c>
      <c r="AO52" s="18" t="e">
        <f t="shared" si="41"/>
        <v>#DIV/0!</v>
      </c>
      <c r="AP52" s="18" t="e">
        <f t="shared" si="42"/>
        <v>#DIV/0!</v>
      </c>
      <c r="AQ52" s="18" t="e">
        <f t="shared" si="43"/>
        <v>#DIV/0!</v>
      </c>
      <c r="AR52" s="18" t="e">
        <f t="shared" si="44"/>
        <v>#DIV/0!</v>
      </c>
      <c r="AS52" s="18" t="e">
        <f t="shared" si="45"/>
        <v>#DIV/0!</v>
      </c>
      <c r="AT52" s="18" t="e">
        <f t="shared" si="46"/>
        <v>#DIV/0!</v>
      </c>
      <c r="AU52" s="18" t="e">
        <f t="shared" si="47"/>
        <v>#DIV/0!</v>
      </c>
    </row>
    <row r="53" spans="2:47" s="20" customFormat="1" ht="15.75" thickBot="1" x14ac:dyDescent="0.3">
      <c r="B53" s="14"/>
      <c r="C53" s="28"/>
      <c r="D53" s="27"/>
      <c r="E53" s="27"/>
      <c r="F53" s="27"/>
      <c r="G53" s="27"/>
      <c r="H53" s="27"/>
      <c r="I53" s="27"/>
      <c r="J53" s="27"/>
      <c r="K53" s="27"/>
      <c r="L53" s="27"/>
      <c r="M53" s="27"/>
      <c r="S53" s="20">
        <f t="shared" si="21"/>
        <v>0</v>
      </c>
      <c r="T53" s="20">
        <f t="shared" si="22"/>
        <v>0</v>
      </c>
      <c r="U53" s="20" t="e">
        <f t="shared" ref="U53:W53" si="94">$R$1*1000*$AO$2*($AE$2-1)/$T53/D120/$V$2/$T$2/$AE$2</f>
        <v>#DIV/0!</v>
      </c>
      <c r="V53" s="20" t="e">
        <f t="shared" si="94"/>
        <v>#DIV/0!</v>
      </c>
      <c r="W53" s="20" t="e">
        <f t="shared" si="94"/>
        <v>#DIV/0!</v>
      </c>
      <c r="X53" s="20" t="e">
        <f t="shared" si="24"/>
        <v>#DIV/0!</v>
      </c>
      <c r="Y53" s="20" t="e">
        <f t="shared" si="25"/>
        <v>#DIV/0!</v>
      </c>
      <c r="Z53" s="20" t="e">
        <f t="shared" si="26"/>
        <v>#DIV/0!</v>
      </c>
      <c r="AA53" s="20" t="e">
        <f t="shared" si="27"/>
        <v>#DIV/0!</v>
      </c>
      <c r="AB53" s="20" t="e">
        <f t="shared" si="28"/>
        <v>#DIV/0!</v>
      </c>
      <c r="AC53" s="20" t="e">
        <f t="shared" si="29"/>
        <v>#DIV/0!</v>
      </c>
      <c r="AD53" s="20" t="e">
        <f t="shared" si="30"/>
        <v>#DIV/0!</v>
      </c>
      <c r="AE53" s="20" t="e">
        <f t="shared" si="31"/>
        <v>#DIV/0!</v>
      </c>
      <c r="AF53" s="20" t="e">
        <f t="shared" si="32"/>
        <v>#DIV/0!</v>
      </c>
      <c r="AG53" s="20" t="e">
        <f t="shared" si="33"/>
        <v>#DIV/0!</v>
      </c>
      <c r="AH53" s="20" t="e">
        <f t="shared" si="34"/>
        <v>#DIV/0!</v>
      </c>
      <c r="AI53" s="20" t="e">
        <f t="shared" si="35"/>
        <v>#DIV/0!</v>
      </c>
      <c r="AJ53" s="20" t="e">
        <f t="shared" si="36"/>
        <v>#DIV/0!</v>
      </c>
      <c r="AK53" s="20" t="e">
        <f t="shared" si="37"/>
        <v>#DIV/0!</v>
      </c>
      <c r="AL53" s="20" t="e">
        <f t="shared" si="38"/>
        <v>#DIV/0!</v>
      </c>
      <c r="AM53" s="18" t="e">
        <f t="shared" si="39"/>
        <v>#DIV/0!</v>
      </c>
      <c r="AN53" s="18" t="e">
        <f t="shared" si="40"/>
        <v>#DIV/0!</v>
      </c>
      <c r="AO53" s="18" t="e">
        <f t="shared" si="41"/>
        <v>#DIV/0!</v>
      </c>
      <c r="AP53" s="18" t="e">
        <f t="shared" si="42"/>
        <v>#DIV/0!</v>
      </c>
      <c r="AQ53" s="18" t="e">
        <f t="shared" si="43"/>
        <v>#DIV/0!</v>
      </c>
      <c r="AR53" s="18" t="e">
        <f t="shared" si="44"/>
        <v>#DIV/0!</v>
      </c>
      <c r="AS53" s="18" t="e">
        <f t="shared" si="45"/>
        <v>#DIV/0!</v>
      </c>
      <c r="AT53" s="18" t="e">
        <f t="shared" si="46"/>
        <v>#DIV/0!</v>
      </c>
      <c r="AU53" s="18" t="e">
        <f t="shared" si="47"/>
        <v>#DIV/0!</v>
      </c>
    </row>
    <row r="54" spans="2:47" s="20" customFormat="1" ht="15.75" thickBot="1" x14ac:dyDescent="0.3">
      <c r="B54" s="14"/>
      <c r="C54" s="28"/>
      <c r="D54" s="27"/>
      <c r="E54" s="27"/>
      <c r="F54" s="27"/>
      <c r="G54" s="27"/>
      <c r="H54" s="27"/>
      <c r="I54" s="27"/>
      <c r="J54" s="27"/>
      <c r="K54" s="27"/>
      <c r="L54" s="27"/>
      <c r="M54" s="27"/>
      <c r="S54" s="20">
        <f t="shared" si="21"/>
        <v>0</v>
      </c>
      <c r="T54" s="20">
        <f t="shared" si="22"/>
        <v>0</v>
      </c>
      <c r="U54" s="20" t="e">
        <f t="shared" ref="U54:W54" si="95">$R$1*1000*$AO$2*($AE$2-1)/$T54/D121/$V$2/$T$2/$AE$2</f>
        <v>#DIV/0!</v>
      </c>
      <c r="V54" s="20" t="e">
        <f t="shared" si="95"/>
        <v>#DIV/0!</v>
      </c>
      <c r="W54" s="20" t="e">
        <f t="shared" si="95"/>
        <v>#DIV/0!</v>
      </c>
      <c r="X54" s="20" t="e">
        <f t="shared" si="24"/>
        <v>#DIV/0!</v>
      </c>
      <c r="Y54" s="20" t="e">
        <f t="shared" si="25"/>
        <v>#DIV/0!</v>
      </c>
      <c r="Z54" s="20" t="e">
        <f t="shared" si="26"/>
        <v>#DIV/0!</v>
      </c>
      <c r="AA54" s="20" t="e">
        <f t="shared" si="27"/>
        <v>#DIV/0!</v>
      </c>
      <c r="AB54" s="20" t="e">
        <f t="shared" si="28"/>
        <v>#DIV/0!</v>
      </c>
      <c r="AC54" s="20" t="e">
        <f t="shared" si="29"/>
        <v>#DIV/0!</v>
      </c>
      <c r="AD54" s="20" t="e">
        <f t="shared" si="30"/>
        <v>#DIV/0!</v>
      </c>
      <c r="AE54" s="20" t="e">
        <f t="shared" si="31"/>
        <v>#DIV/0!</v>
      </c>
      <c r="AF54" s="20" t="e">
        <f t="shared" si="32"/>
        <v>#DIV/0!</v>
      </c>
      <c r="AG54" s="20" t="e">
        <f t="shared" si="33"/>
        <v>#DIV/0!</v>
      </c>
      <c r="AH54" s="20" t="e">
        <f t="shared" si="34"/>
        <v>#DIV/0!</v>
      </c>
      <c r="AI54" s="20" t="e">
        <f t="shared" si="35"/>
        <v>#DIV/0!</v>
      </c>
      <c r="AJ54" s="20" t="e">
        <f t="shared" si="36"/>
        <v>#DIV/0!</v>
      </c>
      <c r="AK54" s="20" t="e">
        <f t="shared" si="37"/>
        <v>#DIV/0!</v>
      </c>
      <c r="AL54" s="20" t="e">
        <f t="shared" si="38"/>
        <v>#DIV/0!</v>
      </c>
      <c r="AM54" s="18" t="e">
        <f t="shared" si="39"/>
        <v>#DIV/0!</v>
      </c>
      <c r="AN54" s="18" t="e">
        <f t="shared" si="40"/>
        <v>#DIV/0!</v>
      </c>
      <c r="AO54" s="18" t="e">
        <f t="shared" si="41"/>
        <v>#DIV/0!</v>
      </c>
      <c r="AP54" s="18" t="e">
        <f t="shared" si="42"/>
        <v>#DIV/0!</v>
      </c>
      <c r="AQ54" s="18" t="e">
        <f t="shared" si="43"/>
        <v>#DIV/0!</v>
      </c>
      <c r="AR54" s="18" t="e">
        <f t="shared" si="44"/>
        <v>#DIV/0!</v>
      </c>
      <c r="AS54" s="18" t="e">
        <f t="shared" si="45"/>
        <v>#DIV/0!</v>
      </c>
      <c r="AT54" s="18" t="e">
        <f t="shared" si="46"/>
        <v>#DIV/0!</v>
      </c>
      <c r="AU54" s="18" t="e">
        <f t="shared" si="47"/>
        <v>#DIV/0!</v>
      </c>
    </row>
    <row r="55" spans="2:47" s="20" customFormat="1" ht="15.75" thickBot="1" x14ac:dyDescent="0.3">
      <c r="B55" s="14"/>
      <c r="C55" s="28"/>
      <c r="D55" s="27"/>
      <c r="E55" s="27"/>
      <c r="F55" s="27"/>
      <c r="G55" s="27"/>
      <c r="H55" s="27"/>
      <c r="I55" s="27"/>
      <c r="J55" s="27"/>
      <c r="K55" s="27"/>
      <c r="L55" s="27"/>
      <c r="M55" s="27"/>
      <c r="S55" s="20">
        <f t="shared" si="21"/>
        <v>0</v>
      </c>
      <c r="T55" s="20">
        <f t="shared" si="22"/>
        <v>0</v>
      </c>
      <c r="U55" s="20" t="e">
        <f t="shared" ref="U55:W55" si="96">$R$1*1000*$AO$2*($AE$2-1)/$T55/D122/$V$2/$T$2/$AE$2</f>
        <v>#DIV/0!</v>
      </c>
      <c r="V55" s="20" t="e">
        <f t="shared" si="96"/>
        <v>#DIV/0!</v>
      </c>
      <c r="W55" s="20" t="e">
        <f t="shared" si="96"/>
        <v>#DIV/0!</v>
      </c>
      <c r="X55" s="20" t="e">
        <f t="shared" si="24"/>
        <v>#DIV/0!</v>
      </c>
      <c r="Y55" s="20" t="e">
        <f t="shared" si="25"/>
        <v>#DIV/0!</v>
      </c>
      <c r="Z55" s="20" t="e">
        <f t="shared" si="26"/>
        <v>#DIV/0!</v>
      </c>
      <c r="AA55" s="20" t="e">
        <f t="shared" si="27"/>
        <v>#DIV/0!</v>
      </c>
      <c r="AB55" s="20" t="e">
        <f t="shared" si="28"/>
        <v>#DIV/0!</v>
      </c>
      <c r="AC55" s="20" t="e">
        <f t="shared" si="29"/>
        <v>#DIV/0!</v>
      </c>
      <c r="AD55" s="20" t="e">
        <f t="shared" si="30"/>
        <v>#DIV/0!</v>
      </c>
      <c r="AE55" s="20" t="e">
        <f t="shared" si="31"/>
        <v>#DIV/0!</v>
      </c>
      <c r="AF55" s="20" t="e">
        <f t="shared" si="32"/>
        <v>#DIV/0!</v>
      </c>
      <c r="AG55" s="20" t="e">
        <f t="shared" si="33"/>
        <v>#DIV/0!</v>
      </c>
      <c r="AH55" s="20" t="e">
        <f t="shared" si="34"/>
        <v>#DIV/0!</v>
      </c>
      <c r="AI55" s="20" t="e">
        <f t="shared" si="35"/>
        <v>#DIV/0!</v>
      </c>
      <c r="AJ55" s="20" t="e">
        <f t="shared" si="36"/>
        <v>#DIV/0!</v>
      </c>
      <c r="AK55" s="20" t="e">
        <f t="shared" si="37"/>
        <v>#DIV/0!</v>
      </c>
      <c r="AL55" s="20" t="e">
        <f t="shared" si="38"/>
        <v>#DIV/0!</v>
      </c>
      <c r="AM55" s="18" t="e">
        <f t="shared" si="39"/>
        <v>#DIV/0!</v>
      </c>
      <c r="AN55" s="18" t="e">
        <f t="shared" si="40"/>
        <v>#DIV/0!</v>
      </c>
      <c r="AO55" s="18" t="e">
        <f t="shared" si="41"/>
        <v>#DIV/0!</v>
      </c>
      <c r="AP55" s="18" t="e">
        <f t="shared" si="42"/>
        <v>#DIV/0!</v>
      </c>
      <c r="AQ55" s="18" t="e">
        <f t="shared" si="43"/>
        <v>#DIV/0!</v>
      </c>
      <c r="AR55" s="18" t="e">
        <f t="shared" si="44"/>
        <v>#DIV/0!</v>
      </c>
      <c r="AS55" s="18" t="e">
        <f t="shared" si="45"/>
        <v>#DIV/0!</v>
      </c>
      <c r="AT55" s="18" t="e">
        <f t="shared" si="46"/>
        <v>#DIV/0!</v>
      </c>
      <c r="AU55" s="18" t="e">
        <f t="shared" si="47"/>
        <v>#DIV/0!</v>
      </c>
    </row>
    <row r="56" spans="2:47" s="20" customFormat="1" ht="15.75" thickBot="1" x14ac:dyDescent="0.3">
      <c r="B56" s="14"/>
      <c r="C56" s="28"/>
      <c r="D56" s="27"/>
      <c r="E56" s="27"/>
      <c r="F56" s="27"/>
      <c r="G56" s="27"/>
      <c r="H56" s="27"/>
      <c r="I56" s="27"/>
      <c r="J56" s="27"/>
      <c r="K56" s="27"/>
      <c r="L56" s="27"/>
      <c r="M56" s="27"/>
      <c r="S56" s="20">
        <f t="shared" si="21"/>
        <v>0</v>
      </c>
      <c r="T56" s="20">
        <f t="shared" si="22"/>
        <v>0</v>
      </c>
      <c r="U56" s="20" t="e">
        <f t="shared" ref="U56:W56" si="97">$R$1*1000*$AO$2*($AE$2-1)/$T56/D123/$V$2/$T$2/$AE$2</f>
        <v>#DIV/0!</v>
      </c>
      <c r="V56" s="20" t="e">
        <f t="shared" si="97"/>
        <v>#DIV/0!</v>
      </c>
      <c r="W56" s="20" t="e">
        <f t="shared" si="97"/>
        <v>#DIV/0!</v>
      </c>
      <c r="X56" s="20" t="e">
        <f t="shared" si="24"/>
        <v>#DIV/0!</v>
      </c>
      <c r="Y56" s="20" t="e">
        <f t="shared" si="25"/>
        <v>#DIV/0!</v>
      </c>
      <c r="Z56" s="20" t="e">
        <f t="shared" si="26"/>
        <v>#DIV/0!</v>
      </c>
      <c r="AA56" s="20" t="e">
        <f t="shared" si="27"/>
        <v>#DIV/0!</v>
      </c>
      <c r="AB56" s="20" t="e">
        <f t="shared" si="28"/>
        <v>#DIV/0!</v>
      </c>
      <c r="AC56" s="20" t="e">
        <f t="shared" si="29"/>
        <v>#DIV/0!</v>
      </c>
      <c r="AD56" s="20" t="e">
        <f t="shared" si="30"/>
        <v>#DIV/0!</v>
      </c>
      <c r="AE56" s="20" t="e">
        <f t="shared" si="31"/>
        <v>#DIV/0!</v>
      </c>
      <c r="AF56" s="20" t="e">
        <f t="shared" si="32"/>
        <v>#DIV/0!</v>
      </c>
      <c r="AG56" s="20" t="e">
        <f t="shared" si="33"/>
        <v>#DIV/0!</v>
      </c>
      <c r="AH56" s="20" t="e">
        <f t="shared" si="34"/>
        <v>#DIV/0!</v>
      </c>
      <c r="AI56" s="20" t="e">
        <f t="shared" si="35"/>
        <v>#DIV/0!</v>
      </c>
      <c r="AJ56" s="20" t="e">
        <f t="shared" si="36"/>
        <v>#DIV/0!</v>
      </c>
      <c r="AK56" s="20" t="e">
        <f t="shared" si="37"/>
        <v>#DIV/0!</v>
      </c>
      <c r="AL56" s="20" t="e">
        <f t="shared" si="38"/>
        <v>#DIV/0!</v>
      </c>
      <c r="AM56" s="18" t="e">
        <f t="shared" si="39"/>
        <v>#DIV/0!</v>
      </c>
      <c r="AN56" s="18" t="e">
        <f t="shared" si="40"/>
        <v>#DIV/0!</v>
      </c>
      <c r="AO56" s="18" t="e">
        <f t="shared" si="41"/>
        <v>#DIV/0!</v>
      </c>
      <c r="AP56" s="18" t="e">
        <f t="shared" si="42"/>
        <v>#DIV/0!</v>
      </c>
      <c r="AQ56" s="18" t="e">
        <f t="shared" si="43"/>
        <v>#DIV/0!</v>
      </c>
      <c r="AR56" s="18" t="e">
        <f t="shared" si="44"/>
        <v>#DIV/0!</v>
      </c>
      <c r="AS56" s="18" t="e">
        <f t="shared" si="45"/>
        <v>#DIV/0!</v>
      </c>
      <c r="AT56" s="18" t="e">
        <f t="shared" si="46"/>
        <v>#DIV/0!</v>
      </c>
      <c r="AU56" s="18" t="e">
        <f t="shared" si="47"/>
        <v>#DIV/0!</v>
      </c>
    </row>
    <row r="57" spans="2:47" s="20" customFormat="1" ht="15.75" thickBot="1" x14ac:dyDescent="0.3">
      <c r="B57" s="14"/>
      <c r="C57" s="28"/>
      <c r="D57" s="27"/>
      <c r="E57" s="27"/>
      <c r="F57" s="27"/>
      <c r="G57" s="27"/>
      <c r="H57" s="27"/>
      <c r="I57" s="27"/>
      <c r="J57" s="27"/>
      <c r="K57" s="27"/>
      <c r="L57" s="27"/>
      <c r="M57" s="27"/>
      <c r="S57" s="20">
        <f t="shared" si="21"/>
        <v>0</v>
      </c>
      <c r="T57" s="20">
        <f t="shared" si="22"/>
        <v>0</v>
      </c>
      <c r="U57" s="20" t="e">
        <f t="shared" ref="U57:W57" si="98">$R$1*1000*$AO$2*($AE$2-1)/$T57/D124/$V$2/$T$2/$AE$2</f>
        <v>#DIV/0!</v>
      </c>
      <c r="V57" s="20" t="e">
        <f t="shared" si="98"/>
        <v>#DIV/0!</v>
      </c>
      <c r="W57" s="20" t="e">
        <f t="shared" si="98"/>
        <v>#DIV/0!</v>
      </c>
      <c r="X57" s="20" t="e">
        <f t="shared" si="24"/>
        <v>#DIV/0!</v>
      </c>
      <c r="Y57" s="20" t="e">
        <f t="shared" si="25"/>
        <v>#DIV/0!</v>
      </c>
      <c r="Z57" s="20" t="e">
        <f t="shared" si="26"/>
        <v>#DIV/0!</v>
      </c>
      <c r="AA57" s="20" t="e">
        <f t="shared" si="27"/>
        <v>#DIV/0!</v>
      </c>
      <c r="AB57" s="20" t="e">
        <f t="shared" si="28"/>
        <v>#DIV/0!</v>
      </c>
      <c r="AC57" s="20" t="e">
        <f t="shared" si="29"/>
        <v>#DIV/0!</v>
      </c>
      <c r="AD57" s="20" t="e">
        <f t="shared" si="30"/>
        <v>#DIV/0!</v>
      </c>
      <c r="AE57" s="20" t="e">
        <f t="shared" si="31"/>
        <v>#DIV/0!</v>
      </c>
      <c r="AF57" s="20" t="e">
        <f t="shared" si="32"/>
        <v>#DIV/0!</v>
      </c>
      <c r="AG57" s="20" t="e">
        <f t="shared" si="33"/>
        <v>#DIV/0!</v>
      </c>
      <c r="AH57" s="20" t="e">
        <f t="shared" si="34"/>
        <v>#DIV/0!</v>
      </c>
      <c r="AI57" s="20" t="e">
        <f t="shared" si="35"/>
        <v>#DIV/0!</v>
      </c>
      <c r="AJ57" s="20" t="e">
        <f t="shared" si="36"/>
        <v>#DIV/0!</v>
      </c>
      <c r="AK57" s="20" t="e">
        <f t="shared" si="37"/>
        <v>#DIV/0!</v>
      </c>
      <c r="AL57" s="20" t="e">
        <f t="shared" si="38"/>
        <v>#DIV/0!</v>
      </c>
      <c r="AM57" s="18" t="e">
        <f t="shared" si="39"/>
        <v>#DIV/0!</v>
      </c>
      <c r="AN57" s="18" t="e">
        <f t="shared" si="40"/>
        <v>#DIV/0!</v>
      </c>
      <c r="AO57" s="18" t="e">
        <f t="shared" si="41"/>
        <v>#DIV/0!</v>
      </c>
      <c r="AP57" s="18" t="e">
        <f t="shared" si="42"/>
        <v>#DIV/0!</v>
      </c>
      <c r="AQ57" s="18" t="e">
        <f t="shared" si="43"/>
        <v>#DIV/0!</v>
      </c>
      <c r="AR57" s="18" t="e">
        <f t="shared" si="44"/>
        <v>#DIV/0!</v>
      </c>
      <c r="AS57" s="18" t="e">
        <f t="shared" si="45"/>
        <v>#DIV/0!</v>
      </c>
      <c r="AT57" s="18" t="e">
        <f t="shared" si="46"/>
        <v>#DIV/0!</v>
      </c>
      <c r="AU57" s="18" t="e">
        <f t="shared" si="47"/>
        <v>#DIV/0!</v>
      </c>
    </row>
    <row r="58" spans="2:47" s="20" customFormat="1" ht="15.75" thickBot="1" x14ac:dyDescent="0.3">
      <c r="B58" s="14"/>
      <c r="C58" s="28"/>
      <c r="D58" s="27"/>
      <c r="E58" s="27"/>
      <c r="F58" s="27"/>
      <c r="G58" s="27"/>
      <c r="H58" s="27"/>
      <c r="I58" s="27"/>
      <c r="J58" s="27"/>
      <c r="K58" s="27"/>
      <c r="L58" s="27"/>
      <c r="M58" s="27"/>
      <c r="S58" s="20">
        <f t="shared" si="21"/>
        <v>0</v>
      </c>
      <c r="T58" s="20">
        <f t="shared" si="22"/>
        <v>0</v>
      </c>
      <c r="U58" s="20" t="e">
        <f t="shared" ref="U58:W58" si="99">$R$1*1000*$AO$2*($AE$2-1)/$T58/D125/$V$2/$T$2/$AE$2</f>
        <v>#DIV/0!</v>
      </c>
      <c r="V58" s="20" t="e">
        <f t="shared" si="99"/>
        <v>#DIV/0!</v>
      </c>
      <c r="W58" s="20" t="e">
        <f t="shared" si="99"/>
        <v>#DIV/0!</v>
      </c>
      <c r="X58" s="20" t="e">
        <f t="shared" si="24"/>
        <v>#DIV/0!</v>
      </c>
      <c r="Y58" s="20" t="e">
        <f t="shared" si="25"/>
        <v>#DIV/0!</v>
      </c>
      <c r="Z58" s="20" t="e">
        <f t="shared" si="26"/>
        <v>#DIV/0!</v>
      </c>
      <c r="AA58" s="20" t="e">
        <f t="shared" si="27"/>
        <v>#DIV/0!</v>
      </c>
      <c r="AB58" s="20" t="e">
        <f t="shared" si="28"/>
        <v>#DIV/0!</v>
      </c>
      <c r="AC58" s="20" t="e">
        <f t="shared" si="29"/>
        <v>#DIV/0!</v>
      </c>
      <c r="AD58" s="20" t="e">
        <f t="shared" si="30"/>
        <v>#DIV/0!</v>
      </c>
      <c r="AE58" s="20" t="e">
        <f t="shared" si="31"/>
        <v>#DIV/0!</v>
      </c>
      <c r="AF58" s="20" t="e">
        <f t="shared" si="32"/>
        <v>#DIV/0!</v>
      </c>
      <c r="AG58" s="20" t="e">
        <f t="shared" si="33"/>
        <v>#DIV/0!</v>
      </c>
      <c r="AH58" s="20" t="e">
        <f t="shared" si="34"/>
        <v>#DIV/0!</v>
      </c>
      <c r="AI58" s="20" t="e">
        <f t="shared" si="35"/>
        <v>#DIV/0!</v>
      </c>
      <c r="AJ58" s="20" t="e">
        <f t="shared" si="36"/>
        <v>#DIV/0!</v>
      </c>
      <c r="AK58" s="20" t="e">
        <f t="shared" si="37"/>
        <v>#DIV/0!</v>
      </c>
      <c r="AL58" s="20" t="e">
        <f t="shared" si="38"/>
        <v>#DIV/0!</v>
      </c>
      <c r="AM58" s="18" t="e">
        <f t="shared" si="39"/>
        <v>#DIV/0!</v>
      </c>
      <c r="AN58" s="18" t="e">
        <f t="shared" si="40"/>
        <v>#DIV/0!</v>
      </c>
      <c r="AO58" s="18" t="e">
        <f t="shared" si="41"/>
        <v>#DIV/0!</v>
      </c>
      <c r="AP58" s="18" t="e">
        <f t="shared" si="42"/>
        <v>#DIV/0!</v>
      </c>
      <c r="AQ58" s="18" t="e">
        <f t="shared" si="43"/>
        <v>#DIV/0!</v>
      </c>
      <c r="AR58" s="18" t="e">
        <f t="shared" si="44"/>
        <v>#DIV/0!</v>
      </c>
      <c r="AS58" s="18" t="e">
        <f t="shared" si="45"/>
        <v>#DIV/0!</v>
      </c>
      <c r="AT58" s="18" t="e">
        <f t="shared" si="46"/>
        <v>#DIV/0!</v>
      </c>
      <c r="AU58" s="18" t="e">
        <f t="shared" si="47"/>
        <v>#DIV/0!</v>
      </c>
    </row>
    <row r="59" spans="2:47" s="20" customFormat="1" ht="15.75" thickBot="1" x14ac:dyDescent="0.3">
      <c r="B59" s="14"/>
      <c r="C59" s="28"/>
      <c r="D59" s="27"/>
      <c r="E59" s="27"/>
      <c r="F59" s="27"/>
      <c r="G59" s="27"/>
      <c r="H59" s="27"/>
      <c r="I59" s="27"/>
      <c r="J59" s="27"/>
      <c r="K59" s="27"/>
      <c r="L59" s="27"/>
      <c r="M59" s="27"/>
      <c r="S59" s="20">
        <f t="shared" si="21"/>
        <v>0</v>
      </c>
      <c r="T59" s="20">
        <f t="shared" si="22"/>
        <v>0</v>
      </c>
      <c r="U59" s="20" t="e">
        <f t="shared" ref="U59:W59" si="100">$R$1*1000*$AO$2*($AE$2-1)/$T59/D126/$V$2/$T$2/$AE$2</f>
        <v>#DIV/0!</v>
      </c>
      <c r="V59" s="20" t="e">
        <f t="shared" si="100"/>
        <v>#DIV/0!</v>
      </c>
      <c r="W59" s="20" t="e">
        <f t="shared" si="100"/>
        <v>#DIV/0!</v>
      </c>
      <c r="X59" s="20" t="e">
        <f t="shared" si="24"/>
        <v>#DIV/0!</v>
      </c>
      <c r="Y59" s="20" t="e">
        <f t="shared" si="25"/>
        <v>#DIV/0!</v>
      </c>
      <c r="Z59" s="20" t="e">
        <f t="shared" si="26"/>
        <v>#DIV/0!</v>
      </c>
      <c r="AA59" s="20" t="e">
        <f t="shared" si="27"/>
        <v>#DIV/0!</v>
      </c>
      <c r="AB59" s="20" t="e">
        <f t="shared" si="28"/>
        <v>#DIV/0!</v>
      </c>
      <c r="AC59" s="20" t="e">
        <f t="shared" si="29"/>
        <v>#DIV/0!</v>
      </c>
      <c r="AD59" s="20" t="e">
        <f t="shared" si="30"/>
        <v>#DIV/0!</v>
      </c>
      <c r="AE59" s="20" t="e">
        <f t="shared" si="31"/>
        <v>#DIV/0!</v>
      </c>
      <c r="AF59" s="20" t="e">
        <f t="shared" si="32"/>
        <v>#DIV/0!</v>
      </c>
      <c r="AG59" s="20" t="e">
        <f t="shared" si="33"/>
        <v>#DIV/0!</v>
      </c>
      <c r="AH59" s="20" t="e">
        <f t="shared" si="34"/>
        <v>#DIV/0!</v>
      </c>
      <c r="AI59" s="20" t="e">
        <f t="shared" si="35"/>
        <v>#DIV/0!</v>
      </c>
      <c r="AJ59" s="20" t="e">
        <f t="shared" si="36"/>
        <v>#DIV/0!</v>
      </c>
      <c r="AK59" s="20" t="e">
        <f t="shared" si="37"/>
        <v>#DIV/0!</v>
      </c>
      <c r="AL59" s="20" t="e">
        <f t="shared" si="38"/>
        <v>#DIV/0!</v>
      </c>
      <c r="AM59" s="18" t="e">
        <f t="shared" si="39"/>
        <v>#DIV/0!</v>
      </c>
      <c r="AN59" s="18" t="e">
        <f t="shared" si="40"/>
        <v>#DIV/0!</v>
      </c>
      <c r="AO59" s="18" t="e">
        <f t="shared" si="41"/>
        <v>#DIV/0!</v>
      </c>
      <c r="AP59" s="18" t="e">
        <f t="shared" si="42"/>
        <v>#DIV/0!</v>
      </c>
      <c r="AQ59" s="18" t="e">
        <f t="shared" si="43"/>
        <v>#DIV/0!</v>
      </c>
      <c r="AR59" s="18" t="e">
        <f t="shared" si="44"/>
        <v>#DIV/0!</v>
      </c>
      <c r="AS59" s="18" t="e">
        <f t="shared" si="45"/>
        <v>#DIV/0!</v>
      </c>
      <c r="AT59" s="18" t="e">
        <f t="shared" si="46"/>
        <v>#DIV/0!</v>
      </c>
      <c r="AU59" s="18" t="e">
        <f t="shared" si="47"/>
        <v>#DIV/0!</v>
      </c>
    </row>
    <row r="60" spans="2:47" s="20" customFormat="1" ht="15.75" thickBot="1" x14ac:dyDescent="0.3">
      <c r="B60" s="14"/>
      <c r="C60" s="28"/>
      <c r="D60" s="27"/>
      <c r="E60" s="27"/>
      <c r="F60" s="27"/>
      <c r="G60" s="27"/>
      <c r="H60" s="27"/>
      <c r="I60" s="27"/>
      <c r="J60" s="27"/>
      <c r="K60" s="27"/>
      <c r="L60" s="27"/>
      <c r="M60" s="27"/>
      <c r="S60" s="20">
        <f t="shared" si="21"/>
        <v>0</v>
      </c>
      <c r="T60" s="20">
        <f t="shared" si="22"/>
        <v>0</v>
      </c>
      <c r="U60" s="20" t="e">
        <f t="shared" ref="U60:W60" si="101">$R$1*1000*$AO$2*($AE$2-1)/$T60/D127/$V$2/$T$2/$AE$2</f>
        <v>#DIV/0!</v>
      </c>
      <c r="V60" s="20" t="e">
        <f t="shared" si="101"/>
        <v>#DIV/0!</v>
      </c>
      <c r="W60" s="20" t="e">
        <f t="shared" si="101"/>
        <v>#DIV/0!</v>
      </c>
      <c r="X60" s="20" t="e">
        <f t="shared" si="24"/>
        <v>#DIV/0!</v>
      </c>
      <c r="Y60" s="20" t="e">
        <f t="shared" si="25"/>
        <v>#DIV/0!</v>
      </c>
      <c r="Z60" s="20" t="e">
        <f t="shared" si="26"/>
        <v>#DIV/0!</v>
      </c>
      <c r="AA60" s="20" t="e">
        <f t="shared" si="27"/>
        <v>#DIV/0!</v>
      </c>
      <c r="AB60" s="20" t="e">
        <f t="shared" si="28"/>
        <v>#DIV/0!</v>
      </c>
      <c r="AC60" s="20" t="e">
        <f t="shared" si="29"/>
        <v>#DIV/0!</v>
      </c>
      <c r="AD60" s="20" t="e">
        <f t="shared" si="30"/>
        <v>#DIV/0!</v>
      </c>
      <c r="AE60" s="20" t="e">
        <f t="shared" si="31"/>
        <v>#DIV/0!</v>
      </c>
      <c r="AF60" s="20" t="e">
        <f t="shared" si="32"/>
        <v>#DIV/0!</v>
      </c>
      <c r="AG60" s="20" t="e">
        <f t="shared" si="33"/>
        <v>#DIV/0!</v>
      </c>
      <c r="AH60" s="20" t="e">
        <f t="shared" si="34"/>
        <v>#DIV/0!</v>
      </c>
      <c r="AI60" s="20" t="e">
        <f t="shared" si="35"/>
        <v>#DIV/0!</v>
      </c>
      <c r="AJ60" s="20" t="e">
        <f t="shared" si="36"/>
        <v>#DIV/0!</v>
      </c>
      <c r="AK60" s="20" t="e">
        <f t="shared" si="37"/>
        <v>#DIV/0!</v>
      </c>
      <c r="AL60" s="20" t="e">
        <f t="shared" si="38"/>
        <v>#DIV/0!</v>
      </c>
      <c r="AM60" s="18" t="e">
        <f t="shared" si="39"/>
        <v>#DIV/0!</v>
      </c>
      <c r="AN60" s="18" t="e">
        <f t="shared" si="40"/>
        <v>#DIV/0!</v>
      </c>
      <c r="AO60" s="18" t="e">
        <f t="shared" si="41"/>
        <v>#DIV/0!</v>
      </c>
      <c r="AP60" s="18" t="e">
        <f t="shared" si="42"/>
        <v>#DIV/0!</v>
      </c>
      <c r="AQ60" s="18" t="e">
        <f t="shared" si="43"/>
        <v>#DIV/0!</v>
      </c>
      <c r="AR60" s="18" t="e">
        <f t="shared" si="44"/>
        <v>#DIV/0!</v>
      </c>
      <c r="AS60" s="18" t="e">
        <f t="shared" si="45"/>
        <v>#DIV/0!</v>
      </c>
      <c r="AT60" s="18" t="e">
        <f t="shared" si="46"/>
        <v>#DIV/0!</v>
      </c>
      <c r="AU60" s="18" t="e">
        <f t="shared" si="47"/>
        <v>#DIV/0!</v>
      </c>
    </row>
    <row r="61" spans="2:47" s="20" customFormat="1" ht="15.75" thickBot="1" x14ac:dyDescent="0.3">
      <c r="B61" s="14"/>
      <c r="C61" s="28"/>
      <c r="D61" s="27"/>
      <c r="E61" s="27"/>
      <c r="F61" s="27"/>
      <c r="G61" s="27"/>
      <c r="H61" s="27"/>
      <c r="I61" s="27"/>
      <c r="J61" s="27"/>
      <c r="K61" s="27"/>
      <c r="L61" s="27"/>
      <c r="M61" s="27"/>
      <c r="S61" s="20">
        <f t="shared" si="21"/>
        <v>0</v>
      </c>
      <c r="T61" s="20">
        <f t="shared" si="22"/>
        <v>0</v>
      </c>
      <c r="U61" s="20" t="e">
        <f t="shared" ref="U61:W61" si="102">$R$1*1000*$AO$2*($AE$2-1)/$T61/D128/$V$2/$T$2/$AE$2</f>
        <v>#DIV/0!</v>
      </c>
      <c r="V61" s="20" t="e">
        <f t="shared" si="102"/>
        <v>#DIV/0!</v>
      </c>
      <c r="W61" s="20" t="e">
        <f t="shared" si="102"/>
        <v>#DIV/0!</v>
      </c>
      <c r="X61" s="20" t="e">
        <f t="shared" si="24"/>
        <v>#DIV/0!</v>
      </c>
      <c r="Y61" s="20" t="e">
        <f t="shared" si="25"/>
        <v>#DIV/0!</v>
      </c>
      <c r="Z61" s="20" t="e">
        <f t="shared" si="26"/>
        <v>#DIV/0!</v>
      </c>
      <c r="AA61" s="20" t="e">
        <f t="shared" si="27"/>
        <v>#DIV/0!</v>
      </c>
      <c r="AB61" s="20" t="e">
        <f t="shared" si="28"/>
        <v>#DIV/0!</v>
      </c>
      <c r="AC61" s="20" t="e">
        <f t="shared" si="29"/>
        <v>#DIV/0!</v>
      </c>
      <c r="AD61" s="20" t="e">
        <f t="shared" si="30"/>
        <v>#DIV/0!</v>
      </c>
      <c r="AE61" s="20" t="e">
        <f t="shared" si="31"/>
        <v>#DIV/0!</v>
      </c>
      <c r="AF61" s="20" t="e">
        <f t="shared" si="32"/>
        <v>#DIV/0!</v>
      </c>
      <c r="AG61" s="20" t="e">
        <f t="shared" si="33"/>
        <v>#DIV/0!</v>
      </c>
      <c r="AH61" s="20" t="e">
        <f t="shared" si="34"/>
        <v>#DIV/0!</v>
      </c>
      <c r="AI61" s="20" t="e">
        <f t="shared" si="35"/>
        <v>#DIV/0!</v>
      </c>
      <c r="AJ61" s="20" t="e">
        <f t="shared" si="36"/>
        <v>#DIV/0!</v>
      </c>
      <c r="AK61" s="20" t="e">
        <f t="shared" si="37"/>
        <v>#DIV/0!</v>
      </c>
      <c r="AL61" s="20" t="e">
        <f t="shared" si="38"/>
        <v>#DIV/0!</v>
      </c>
      <c r="AM61" s="18" t="e">
        <f t="shared" si="39"/>
        <v>#DIV/0!</v>
      </c>
      <c r="AN61" s="18" t="e">
        <f t="shared" si="40"/>
        <v>#DIV/0!</v>
      </c>
      <c r="AO61" s="18" t="e">
        <f t="shared" si="41"/>
        <v>#DIV/0!</v>
      </c>
      <c r="AP61" s="18" t="e">
        <f t="shared" si="42"/>
        <v>#DIV/0!</v>
      </c>
      <c r="AQ61" s="18" t="e">
        <f t="shared" si="43"/>
        <v>#DIV/0!</v>
      </c>
      <c r="AR61" s="18" t="e">
        <f t="shared" si="44"/>
        <v>#DIV/0!</v>
      </c>
      <c r="AS61" s="18" t="e">
        <f t="shared" si="45"/>
        <v>#DIV/0!</v>
      </c>
      <c r="AT61" s="18" t="e">
        <f t="shared" si="46"/>
        <v>#DIV/0!</v>
      </c>
      <c r="AU61" s="18" t="e">
        <f t="shared" si="47"/>
        <v>#DIV/0!</v>
      </c>
    </row>
    <row r="62" spans="2:47" s="20" customFormat="1" ht="15.75" thickBot="1" x14ac:dyDescent="0.3">
      <c r="B62" s="14"/>
      <c r="C62" s="28"/>
      <c r="D62" s="27"/>
      <c r="E62" s="27"/>
      <c r="F62" s="27"/>
      <c r="G62" s="27"/>
      <c r="H62" s="27"/>
      <c r="I62" s="27"/>
      <c r="J62" s="27"/>
      <c r="K62" s="27"/>
      <c r="L62" s="27"/>
      <c r="S62" s="20">
        <f t="shared" si="21"/>
        <v>0</v>
      </c>
      <c r="T62" s="20">
        <f t="shared" si="22"/>
        <v>0</v>
      </c>
      <c r="U62" s="20" t="e">
        <f t="shared" ref="U62:W62" si="103">$R$1*1000*$AO$2*($AE$2-1)/$T62/D129/$V$2/$T$2/$AE$2</f>
        <v>#DIV/0!</v>
      </c>
      <c r="V62" s="20" t="e">
        <f t="shared" si="103"/>
        <v>#DIV/0!</v>
      </c>
      <c r="W62" s="20" t="e">
        <f t="shared" si="103"/>
        <v>#DIV/0!</v>
      </c>
      <c r="X62" s="20" t="e">
        <f t="shared" si="24"/>
        <v>#DIV/0!</v>
      </c>
      <c r="Y62" s="20" t="e">
        <f t="shared" si="25"/>
        <v>#DIV/0!</v>
      </c>
      <c r="Z62" s="20" t="e">
        <f t="shared" si="26"/>
        <v>#DIV/0!</v>
      </c>
      <c r="AA62" s="20" t="e">
        <f t="shared" si="27"/>
        <v>#DIV/0!</v>
      </c>
      <c r="AB62" s="20" t="e">
        <f t="shared" si="28"/>
        <v>#DIV/0!</v>
      </c>
      <c r="AC62" s="20" t="e">
        <f t="shared" si="29"/>
        <v>#DIV/0!</v>
      </c>
      <c r="AD62" s="20" t="e">
        <f t="shared" si="30"/>
        <v>#DIV/0!</v>
      </c>
      <c r="AE62" s="20" t="e">
        <f t="shared" si="31"/>
        <v>#DIV/0!</v>
      </c>
      <c r="AF62" s="20" t="e">
        <f t="shared" si="32"/>
        <v>#DIV/0!</v>
      </c>
      <c r="AG62" s="20" t="e">
        <f t="shared" si="33"/>
        <v>#DIV/0!</v>
      </c>
      <c r="AH62" s="20" t="e">
        <f t="shared" si="34"/>
        <v>#DIV/0!</v>
      </c>
      <c r="AI62" s="20" t="e">
        <f t="shared" si="35"/>
        <v>#DIV/0!</v>
      </c>
      <c r="AJ62" s="20" t="e">
        <f t="shared" si="36"/>
        <v>#DIV/0!</v>
      </c>
      <c r="AK62" s="20" t="e">
        <f t="shared" si="37"/>
        <v>#DIV/0!</v>
      </c>
      <c r="AL62" s="20" t="e">
        <f t="shared" si="38"/>
        <v>#DIV/0!</v>
      </c>
      <c r="AM62" s="18" t="e">
        <f t="shared" si="39"/>
        <v>#DIV/0!</v>
      </c>
      <c r="AN62" s="18" t="e">
        <f t="shared" si="40"/>
        <v>#DIV/0!</v>
      </c>
      <c r="AO62" s="18" t="e">
        <f t="shared" si="41"/>
        <v>#DIV/0!</v>
      </c>
      <c r="AP62" s="18" t="e">
        <f t="shared" si="42"/>
        <v>#DIV/0!</v>
      </c>
      <c r="AQ62" s="18" t="e">
        <f t="shared" si="43"/>
        <v>#DIV/0!</v>
      </c>
      <c r="AR62" s="18" t="e">
        <f t="shared" si="44"/>
        <v>#DIV/0!</v>
      </c>
      <c r="AS62" s="18" t="e">
        <f t="shared" si="45"/>
        <v>#DIV/0!</v>
      </c>
      <c r="AT62" s="18" t="e">
        <f t="shared" si="46"/>
        <v>#DIV/0!</v>
      </c>
      <c r="AU62" s="18" t="e">
        <f t="shared" si="47"/>
        <v>#DIV/0!</v>
      </c>
    </row>
    <row r="63" spans="2:47" s="20" customFormat="1" ht="15.75" thickBot="1" x14ac:dyDescent="0.3">
      <c r="B63" s="14"/>
      <c r="C63" s="28"/>
      <c r="D63" s="27"/>
      <c r="E63" s="27"/>
      <c r="F63" s="27"/>
      <c r="G63" s="27"/>
      <c r="H63" s="27"/>
      <c r="I63" s="27"/>
      <c r="J63" s="27"/>
      <c r="K63" s="27"/>
      <c r="L63" s="27"/>
      <c r="S63" s="20">
        <f t="shared" si="21"/>
        <v>0</v>
      </c>
      <c r="T63" s="20">
        <f t="shared" si="22"/>
        <v>0</v>
      </c>
      <c r="U63" s="20" t="e">
        <f t="shared" ref="U63:W63" si="104">$R$1*1000*$AO$2*($AE$2-1)/$T63/D130/$V$2/$T$2/$AE$2</f>
        <v>#DIV/0!</v>
      </c>
      <c r="V63" s="20" t="e">
        <f t="shared" si="104"/>
        <v>#DIV/0!</v>
      </c>
      <c r="W63" s="20" t="e">
        <f t="shared" si="104"/>
        <v>#DIV/0!</v>
      </c>
      <c r="X63" s="20" t="e">
        <f t="shared" si="24"/>
        <v>#DIV/0!</v>
      </c>
      <c r="Y63" s="20" t="e">
        <f t="shared" si="25"/>
        <v>#DIV/0!</v>
      </c>
      <c r="Z63" s="20" t="e">
        <f t="shared" si="26"/>
        <v>#DIV/0!</v>
      </c>
      <c r="AA63" s="20" t="e">
        <f t="shared" si="27"/>
        <v>#DIV/0!</v>
      </c>
      <c r="AB63" s="20" t="e">
        <f t="shared" si="28"/>
        <v>#DIV/0!</v>
      </c>
      <c r="AC63" s="20" t="e">
        <f t="shared" si="29"/>
        <v>#DIV/0!</v>
      </c>
      <c r="AD63" s="20" t="e">
        <f t="shared" si="30"/>
        <v>#DIV/0!</v>
      </c>
      <c r="AE63" s="20" t="e">
        <f t="shared" si="31"/>
        <v>#DIV/0!</v>
      </c>
      <c r="AF63" s="20" t="e">
        <f t="shared" si="32"/>
        <v>#DIV/0!</v>
      </c>
      <c r="AG63" s="20" t="e">
        <f t="shared" si="33"/>
        <v>#DIV/0!</v>
      </c>
      <c r="AH63" s="20" t="e">
        <f t="shared" si="34"/>
        <v>#DIV/0!</v>
      </c>
      <c r="AI63" s="20" t="e">
        <f t="shared" si="35"/>
        <v>#DIV/0!</v>
      </c>
      <c r="AJ63" s="20" t="e">
        <f t="shared" si="36"/>
        <v>#DIV/0!</v>
      </c>
      <c r="AK63" s="20" t="e">
        <f t="shared" si="37"/>
        <v>#DIV/0!</v>
      </c>
      <c r="AL63" s="20" t="e">
        <f t="shared" si="38"/>
        <v>#DIV/0!</v>
      </c>
      <c r="AM63" s="18" t="e">
        <f t="shared" si="39"/>
        <v>#DIV/0!</v>
      </c>
      <c r="AN63" s="18" t="e">
        <f t="shared" si="40"/>
        <v>#DIV/0!</v>
      </c>
      <c r="AO63" s="18" t="e">
        <f t="shared" si="41"/>
        <v>#DIV/0!</v>
      </c>
      <c r="AP63" s="18" t="e">
        <f t="shared" si="42"/>
        <v>#DIV/0!</v>
      </c>
      <c r="AQ63" s="18" t="e">
        <f t="shared" si="43"/>
        <v>#DIV/0!</v>
      </c>
      <c r="AR63" s="18" t="e">
        <f t="shared" si="44"/>
        <v>#DIV/0!</v>
      </c>
      <c r="AS63" s="18" t="e">
        <f t="shared" si="45"/>
        <v>#DIV/0!</v>
      </c>
      <c r="AT63" s="18" t="e">
        <f t="shared" si="46"/>
        <v>#DIV/0!</v>
      </c>
      <c r="AU63" s="18" t="e">
        <f t="shared" si="47"/>
        <v>#DIV/0!</v>
      </c>
    </row>
    <row r="64" spans="2:47" s="20" customFormat="1" ht="15.75" thickBot="1" x14ac:dyDescent="0.3">
      <c r="B64" s="14"/>
      <c r="C64" s="28"/>
      <c r="D64" s="27"/>
      <c r="E64" s="27"/>
      <c r="F64" s="27"/>
      <c r="G64" s="27"/>
      <c r="H64" s="27"/>
      <c r="I64" s="27"/>
      <c r="J64" s="27"/>
      <c r="K64" s="27"/>
      <c r="L64" s="27"/>
      <c r="S64" s="20">
        <f t="shared" si="21"/>
        <v>0</v>
      </c>
      <c r="T64" s="20">
        <f t="shared" si="22"/>
        <v>0</v>
      </c>
      <c r="U64" s="20" t="e">
        <f t="shared" ref="U64:W64" si="105">$R$1*1000*$AO$2*($AE$2-1)/$T64/D131/$V$2/$T$2/$AE$2</f>
        <v>#DIV/0!</v>
      </c>
      <c r="V64" s="20" t="e">
        <f t="shared" si="105"/>
        <v>#DIV/0!</v>
      </c>
      <c r="W64" s="20" t="e">
        <f t="shared" si="105"/>
        <v>#DIV/0!</v>
      </c>
      <c r="X64" s="20" t="e">
        <f t="shared" si="24"/>
        <v>#DIV/0!</v>
      </c>
      <c r="Y64" s="20" t="e">
        <f t="shared" si="25"/>
        <v>#DIV/0!</v>
      </c>
      <c r="Z64" s="20" t="e">
        <f t="shared" si="26"/>
        <v>#DIV/0!</v>
      </c>
      <c r="AA64" s="20" t="e">
        <f t="shared" si="27"/>
        <v>#DIV/0!</v>
      </c>
      <c r="AB64" s="20" t="e">
        <f t="shared" si="28"/>
        <v>#DIV/0!</v>
      </c>
      <c r="AC64" s="20" t="e">
        <f t="shared" si="29"/>
        <v>#DIV/0!</v>
      </c>
      <c r="AD64" s="20" t="e">
        <f t="shared" si="30"/>
        <v>#DIV/0!</v>
      </c>
      <c r="AE64" s="20" t="e">
        <f t="shared" si="31"/>
        <v>#DIV/0!</v>
      </c>
      <c r="AF64" s="20" t="e">
        <f t="shared" si="32"/>
        <v>#DIV/0!</v>
      </c>
      <c r="AG64" s="20" t="e">
        <f t="shared" si="33"/>
        <v>#DIV/0!</v>
      </c>
      <c r="AH64" s="20" t="e">
        <f t="shared" si="34"/>
        <v>#DIV/0!</v>
      </c>
      <c r="AI64" s="20" t="e">
        <f t="shared" si="35"/>
        <v>#DIV/0!</v>
      </c>
      <c r="AJ64" s="20" t="e">
        <f t="shared" si="36"/>
        <v>#DIV/0!</v>
      </c>
      <c r="AK64" s="20" t="e">
        <f t="shared" si="37"/>
        <v>#DIV/0!</v>
      </c>
      <c r="AL64" s="20" t="e">
        <f t="shared" si="38"/>
        <v>#DIV/0!</v>
      </c>
      <c r="AM64" s="18" t="e">
        <f t="shared" si="39"/>
        <v>#DIV/0!</v>
      </c>
      <c r="AN64" s="18" t="e">
        <f t="shared" si="40"/>
        <v>#DIV/0!</v>
      </c>
      <c r="AO64" s="18" t="e">
        <f t="shared" si="41"/>
        <v>#DIV/0!</v>
      </c>
      <c r="AP64" s="18" t="e">
        <f t="shared" si="42"/>
        <v>#DIV/0!</v>
      </c>
      <c r="AQ64" s="18" t="e">
        <f t="shared" si="43"/>
        <v>#DIV/0!</v>
      </c>
      <c r="AR64" s="18" t="e">
        <f t="shared" si="44"/>
        <v>#DIV/0!</v>
      </c>
      <c r="AS64" s="18" t="e">
        <f t="shared" si="45"/>
        <v>#DIV/0!</v>
      </c>
      <c r="AT64" s="18" t="e">
        <f t="shared" si="46"/>
        <v>#DIV/0!</v>
      </c>
      <c r="AU64" s="18" t="e">
        <f t="shared" si="47"/>
        <v>#DIV/0!</v>
      </c>
    </row>
    <row r="65" spans="1:47" s="20" customFormat="1" ht="15.75" thickBot="1" x14ac:dyDescent="0.3">
      <c r="B65" s="14"/>
      <c r="C65" s="28"/>
      <c r="D65" s="27"/>
      <c r="E65" s="27"/>
      <c r="F65" s="27"/>
      <c r="G65" s="27"/>
      <c r="H65" s="27"/>
      <c r="I65" s="27"/>
      <c r="J65" s="27"/>
      <c r="K65" s="27"/>
      <c r="L65" s="27"/>
      <c r="S65" s="20">
        <f t="shared" si="21"/>
        <v>0</v>
      </c>
      <c r="T65" s="20">
        <f t="shared" si="22"/>
        <v>0</v>
      </c>
      <c r="U65" s="20" t="e">
        <f t="shared" ref="U65:W65" si="106">$R$1*1000*$AO$2*($AE$2-1)/$T65/D132/$V$2/$T$2/$AE$2</f>
        <v>#DIV/0!</v>
      </c>
      <c r="V65" s="20" t="e">
        <f t="shared" si="106"/>
        <v>#DIV/0!</v>
      </c>
      <c r="W65" s="20" t="e">
        <f t="shared" si="106"/>
        <v>#DIV/0!</v>
      </c>
      <c r="X65" s="20" t="e">
        <f t="shared" si="24"/>
        <v>#DIV/0!</v>
      </c>
      <c r="Y65" s="20" t="e">
        <f t="shared" si="25"/>
        <v>#DIV/0!</v>
      </c>
      <c r="Z65" s="20" t="e">
        <f t="shared" si="26"/>
        <v>#DIV/0!</v>
      </c>
      <c r="AA65" s="20" t="e">
        <f t="shared" si="27"/>
        <v>#DIV/0!</v>
      </c>
      <c r="AB65" s="20" t="e">
        <f t="shared" si="28"/>
        <v>#DIV/0!</v>
      </c>
      <c r="AC65" s="20" t="e">
        <f t="shared" si="29"/>
        <v>#DIV/0!</v>
      </c>
      <c r="AD65" s="20" t="e">
        <f t="shared" si="30"/>
        <v>#DIV/0!</v>
      </c>
      <c r="AE65" s="20" t="e">
        <f t="shared" si="31"/>
        <v>#DIV/0!</v>
      </c>
      <c r="AF65" s="20" t="e">
        <f t="shared" si="32"/>
        <v>#DIV/0!</v>
      </c>
      <c r="AG65" s="20" t="e">
        <f t="shared" si="33"/>
        <v>#DIV/0!</v>
      </c>
      <c r="AH65" s="20" t="e">
        <f t="shared" si="34"/>
        <v>#DIV/0!</v>
      </c>
      <c r="AI65" s="20" t="e">
        <f t="shared" si="35"/>
        <v>#DIV/0!</v>
      </c>
      <c r="AJ65" s="20" t="e">
        <f t="shared" si="36"/>
        <v>#DIV/0!</v>
      </c>
      <c r="AK65" s="20" t="e">
        <f t="shared" si="37"/>
        <v>#DIV/0!</v>
      </c>
      <c r="AL65" s="20" t="e">
        <f t="shared" si="38"/>
        <v>#DIV/0!</v>
      </c>
      <c r="AM65" s="18" t="e">
        <f t="shared" si="39"/>
        <v>#DIV/0!</v>
      </c>
      <c r="AN65" s="18" t="e">
        <f t="shared" si="40"/>
        <v>#DIV/0!</v>
      </c>
      <c r="AO65" s="18" t="e">
        <f t="shared" si="41"/>
        <v>#DIV/0!</v>
      </c>
      <c r="AP65" s="18" t="e">
        <f t="shared" si="42"/>
        <v>#DIV/0!</v>
      </c>
      <c r="AQ65" s="18" t="e">
        <f t="shared" si="43"/>
        <v>#DIV/0!</v>
      </c>
      <c r="AR65" s="18" t="e">
        <f t="shared" si="44"/>
        <v>#DIV/0!</v>
      </c>
      <c r="AS65" s="18" t="e">
        <f t="shared" si="45"/>
        <v>#DIV/0!</v>
      </c>
      <c r="AT65" s="18" t="e">
        <f t="shared" si="46"/>
        <v>#DIV/0!</v>
      </c>
      <c r="AU65" s="18" t="e">
        <f t="shared" si="47"/>
        <v>#DIV/0!</v>
      </c>
    </row>
    <row r="66" spans="1:47" s="20" customFormat="1" ht="15.75" thickBot="1" x14ac:dyDescent="0.3">
      <c r="B66" s="14"/>
      <c r="C66" s="28"/>
      <c r="D66" s="27"/>
      <c r="E66" s="27"/>
      <c r="F66" s="27"/>
      <c r="G66" s="27"/>
      <c r="H66" s="27"/>
      <c r="I66" s="27"/>
      <c r="J66" s="27"/>
      <c r="K66" s="27"/>
      <c r="L66" s="27"/>
      <c r="AM66" s="18"/>
      <c r="AN66" s="18"/>
      <c r="AO66" s="18"/>
      <c r="AP66" s="18"/>
      <c r="AQ66" s="18"/>
      <c r="AR66" s="18"/>
      <c r="AS66" s="18"/>
      <c r="AT66" s="18"/>
      <c r="AU66" s="18"/>
    </row>
    <row r="67" spans="1:47" s="20" customFormat="1" ht="15.75" thickBot="1" x14ac:dyDescent="0.3">
      <c r="B67" s="14"/>
      <c r="C67" s="28"/>
      <c r="D67" s="27"/>
      <c r="E67" s="27"/>
      <c r="F67" s="27"/>
      <c r="G67" s="27"/>
      <c r="H67" s="27"/>
      <c r="I67" s="27"/>
      <c r="J67" s="27"/>
      <c r="K67" s="27"/>
      <c r="L67" s="27"/>
      <c r="AM67" s="18"/>
      <c r="AN67" s="18"/>
      <c r="AO67" s="18"/>
      <c r="AP67" s="18"/>
      <c r="AQ67" s="18"/>
      <c r="AR67" s="18"/>
      <c r="AS67" s="18"/>
      <c r="AT67" s="18"/>
      <c r="AU67" s="18"/>
    </row>
    <row r="68" spans="1:47" s="20" customFormat="1" x14ac:dyDescent="0.25">
      <c r="B68" s="14"/>
      <c r="C68" s="28"/>
      <c r="D68" s="27"/>
      <c r="E68" s="27"/>
      <c r="F68" s="27"/>
      <c r="G68" s="27"/>
      <c r="H68" s="27"/>
      <c r="I68" s="27"/>
      <c r="J68" s="27"/>
      <c r="K68" s="27"/>
      <c r="L68" s="27"/>
      <c r="AM68" s="18"/>
      <c r="AN68" s="18"/>
      <c r="AO68" s="18"/>
      <c r="AP68" s="18"/>
      <c r="AQ68" s="18"/>
      <c r="AR68" s="18"/>
      <c r="AS68" s="18"/>
      <c r="AT68" s="18"/>
      <c r="AU68" s="18"/>
    </row>
    <row r="69" spans="1:47" s="17" customFormat="1" x14ac:dyDescent="0.25">
      <c r="B69" s="14"/>
      <c r="C69" s="28"/>
      <c r="D69" s="27"/>
      <c r="E69" s="27"/>
      <c r="F69" s="27"/>
      <c r="G69" s="27"/>
      <c r="H69" s="27"/>
      <c r="I69" s="27"/>
      <c r="J69" s="27"/>
      <c r="K69" s="27"/>
      <c r="L69" s="27"/>
      <c r="U69" s="20"/>
      <c r="W69" s="19"/>
      <c r="X69" s="19"/>
      <c r="Y69" s="19"/>
      <c r="Z69" s="19"/>
      <c r="AA69" s="19"/>
      <c r="AB69" s="19"/>
      <c r="AC69" s="19"/>
      <c r="AD69" s="20"/>
      <c r="AF69" s="19"/>
      <c r="AG69" s="19"/>
      <c r="AH69" s="19"/>
      <c r="AI69" s="19"/>
      <c r="AJ69" s="19"/>
      <c r="AK69" s="19"/>
      <c r="AL69" s="19"/>
      <c r="AM69" s="20"/>
    </row>
    <row r="70" spans="1:47" x14ac:dyDescent="0.25">
      <c r="A70" s="17"/>
      <c r="B70" s="14"/>
      <c r="C70" s="28"/>
      <c r="D70" s="27"/>
      <c r="E70" s="27"/>
      <c r="F70" s="27"/>
      <c r="G70" s="27"/>
      <c r="H70" s="27"/>
      <c r="I70" s="27"/>
      <c r="J70" s="27"/>
      <c r="K70" s="27"/>
      <c r="L70" s="27"/>
      <c r="N70" s="20"/>
      <c r="O70" s="20"/>
      <c r="P70" s="20"/>
      <c r="Q70" s="20"/>
      <c r="R70" s="20"/>
      <c r="S70" s="20"/>
      <c r="T70" s="20"/>
      <c r="V70" s="17"/>
      <c r="AE70" s="17"/>
      <c r="AN70" s="17"/>
      <c r="AO70" s="17"/>
      <c r="AP70" s="17"/>
      <c r="AQ70" s="17"/>
    </row>
    <row r="71" spans="1:47" x14ac:dyDescent="0.25">
      <c r="A71" s="17"/>
      <c r="B71" s="14"/>
      <c r="E71" s="16"/>
      <c r="F71" s="17"/>
      <c r="G71" s="17"/>
      <c r="H71" s="27"/>
      <c r="N71" s="20"/>
      <c r="O71" s="20"/>
      <c r="P71" s="20"/>
      <c r="Q71" s="20"/>
      <c r="R71" s="20"/>
      <c r="S71" s="20"/>
      <c r="T71" s="20"/>
      <c r="V71" s="17"/>
      <c r="AE71" s="17"/>
      <c r="AN71" s="17"/>
      <c r="AO71" s="17"/>
      <c r="AP71" s="17"/>
      <c r="AQ71" s="17"/>
    </row>
    <row r="72" spans="1:47" x14ac:dyDescent="0.25">
      <c r="A72" s="17"/>
      <c r="B72" s="17"/>
      <c r="E72" s="17"/>
      <c r="G72" s="17"/>
      <c r="H72" s="17"/>
      <c r="P72" s="17"/>
      <c r="Q72" s="17"/>
      <c r="R72" s="17"/>
      <c r="S72" s="17"/>
      <c r="T72" s="17"/>
      <c r="V72" s="17"/>
      <c r="AE72" s="17"/>
      <c r="AN72" s="17"/>
      <c r="AO72" s="17"/>
      <c r="AP72" s="17"/>
      <c r="AQ72" s="17"/>
    </row>
    <row r="73" spans="1:47" x14ac:dyDescent="0.25">
      <c r="A73" s="17"/>
      <c r="B73" s="17">
        <v>10</v>
      </c>
      <c r="D73" s="20">
        <v>1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 s="20">
        <v>1</v>
      </c>
      <c r="P73" s="17"/>
      <c r="Q73" s="17"/>
      <c r="R73" s="17"/>
      <c r="S73" s="17"/>
      <c r="T73" s="17"/>
      <c r="V73" s="17"/>
      <c r="AE73" s="17"/>
      <c r="AN73" s="17"/>
      <c r="AO73" s="17"/>
      <c r="AP73" s="17"/>
      <c r="AQ73" s="17"/>
    </row>
    <row r="74" spans="1:47" x14ac:dyDescent="0.25">
      <c r="A74" s="17"/>
      <c r="B74" s="16">
        <v>20</v>
      </c>
      <c r="D74" s="20">
        <f>zBarKelv(D6,$T$2)</f>
        <v>0.99999931610824122</v>
      </c>
      <c r="E74" s="20">
        <f t="shared" ref="E74:L74" si="107">zBarKelv(E6,$T$2)</f>
        <v>0.99999917932991833</v>
      </c>
      <c r="F74" s="20">
        <f t="shared" si="107"/>
        <v>0.99999904255160521</v>
      </c>
      <c r="G74" s="20">
        <f t="shared" si="107"/>
        <v>0.99999890577330175</v>
      </c>
      <c r="H74" s="20">
        <f t="shared" si="107"/>
        <v>0.99999876899500773</v>
      </c>
      <c r="I74" s="20">
        <f t="shared" si="107"/>
        <v>0.99999863221672358</v>
      </c>
      <c r="J74" s="20">
        <f t="shared" si="107"/>
        <v>0.9999984954384491</v>
      </c>
      <c r="K74" s="20">
        <f t="shared" si="107"/>
        <v>0.84565244004106266</v>
      </c>
      <c r="L74" s="20">
        <f t="shared" si="107"/>
        <v>0.99999924771907855</v>
      </c>
      <c r="P74" s="17"/>
      <c r="Q74" s="17"/>
      <c r="R74" s="17"/>
      <c r="S74" s="17"/>
      <c r="T74" s="17"/>
      <c r="V74" s="17"/>
      <c r="AE74" s="17"/>
      <c r="AN74" s="17"/>
      <c r="AO74" s="17"/>
      <c r="AP74" s="17"/>
      <c r="AQ74" s="17"/>
    </row>
    <row r="75" spans="1:47" x14ac:dyDescent="0.25">
      <c r="A75" s="17"/>
      <c r="B75" s="16">
        <v>30</v>
      </c>
      <c r="D75" s="20">
        <f t="shared" ref="D75:L75" si="108">zBarKelv(D7,$T$2)</f>
        <v>0.99998994933188057</v>
      </c>
      <c r="E75" s="20">
        <f t="shared" si="108"/>
        <v>0.99998793921070583</v>
      </c>
      <c r="F75" s="20">
        <f t="shared" si="108"/>
        <v>0.99998592909368089</v>
      </c>
      <c r="G75" s="20">
        <f t="shared" si="108"/>
        <v>0.99998391898080607</v>
      </c>
      <c r="H75" s="20">
        <f t="shared" si="108"/>
        <v>0.99998190887208094</v>
      </c>
      <c r="I75" s="20">
        <f t="shared" si="108"/>
        <v>0.99997989876750604</v>
      </c>
      <c r="J75" s="20">
        <f t="shared" si="108"/>
        <v>0.99997788866708137</v>
      </c>
      <c r="K75" s="20">
        <f t="shared" si="108"/>
        <v>0.84565244004106266</v>
      </c>
      <c r="L75" s="20">
        <f t="shared" si="108"/>
        <v>0.99998894427077445</v>
      </c>
      <c r="P75" s="17"/>
      <c r="Q75" s="17"/>
      <c r="R75" s="17"/>
      <c r="S75" s="17"/>
      <c r="T75" s="17"/>
      <c r="V75" s="17"/>
      <c r="AE75" s="17"/>
      <c r="AN75" s="17"/>
      <c r="AO75" s="17"/>
      <c r="AP75" s="17"/>
      <c r="AQ75" s="17"/>
    </row>
    <row r="76" spans="1:47" x14ac:dyDescent="0.25">
      <c r="A76" s="17"/>
      <c r="B76" s="16">
        <v>40</v>
      </c>
      <c r="D76" s="20">
        <f t="shared" ref="D76:L76" si="109">zBarKelv(D8,$T$2)</f>
        <v>0.9999556298390182</v>
      </c>
      <c r="E76" s="20">
        <f t="shared" si="109"/>
        <v>0.99994675630960228</v>
      </c>
      <c r="F76" s="20">
        <f t="shared" si="109"/>
        <v>0.99993788294778674</v>
      </c>
      <c r="G76" s="20">
        <f t="shared" si="109"/>
        <v>0.99992900975357468</v>
      </c>
      <c r="H76" s="20">
        <f t="shared" si="109"/>
        <v>0.999920136726969</v>
      </c>
      <c r="I76" s="20">
        <f t="shared" si="109"/>
        <v>0.99991126386797258</v>
      </c>
      <c r="J76" s="20">
        <f t="shared" si="109"/>
        <v>0.9999023911765883</v>
      </c>
      <c r="K76" s="20">
        <f t="shared" si="109"/>
        <v>0.84565244004106266</v>
      </c>
      <c r="L76" s="20">
        <f t="shared" si="109"/>
        <v>0.99995119305336033</v>
      </c>
      <c r="P76" s="17"/>
      <c r="Q76" s="17"/>
      <c r="R76" s="17"/>
      <c r="S76" s="17"/>
      <c r="T76" s="17"/>
      <c r="V76" s="17"/>
      <c r="AE76" s="17"/>
      <c r="AN76" s="17"/>
      <c r="AO76" s="17"/>
      <c r="AP76" s="17"/>
      <c r="AQ76" s="17"/>
    </row>
    <row r="77" spans="1:47" x14ac:dyDescent="0.25">
      <c r="A77" s="17"/>
      <c r="B77" s="16">
        <v>50</v>
      </c>
      <c r="D77" s="20">
        <f t="shared" ref="D77:L77" si="110">zBarKelv(D9,$T$2)</f>
        <v>0.99987953079730574</v>
      </c>
      <c r="E77" s="20">
        <f t="shared" si="110"/>
        <v>0.99985544219309697</v>
      </c>
      <c r="F77" s="20">
        <f t="shared" si="110"/>
        <v>0.99983135533429346</v>
      </c>
      <c r="G77" s="20">
        <f t="shared" si="110"/>
        <v>0.99980727022087879</v>
      </c>
      <c r="H77" s="20">
        <f t="shared" si="110"/>
        <v>0.99978318685283663</v>
      </c>
      <c r="I77" s="20">
        <f t="shared" si="110"/>
        <v>0.99975910523015066</v>
      </c>
      <c r="J77" s="20">
        <f t="shared" si="110"/>
        <v>0.99973502535280434</v>
      </c>
      <c r="K77" s="20">
        <f t="shared" si="110"/>
        <v>0.84565244004106266</v>
      </c>
      <c r="L77" s="20">
        <f t="shared" si="110"/>
        <v>0.99986748627702471</v>
      </c>
      <c r="P77" s="17"/>
      <c r="Q77" s="17"/>
      <c r="R77" s="17"/>
      <c r="S77" s="17"/>
      <c r="T77" s="17"/>
      <c r="V77" s="17"/>
      <c r="AE77" s="17"/>
      <c r="AN77" s="17"/>
      <c r="AO77" s="17"/>
      <c r="AP77" s="17"/>
      <c r="AQ77" s="17"/>
    </row>
    <row r="78" spans="1:47" x14ac:dyDescent="0.25">
      <c r="A78" s="17"/>
      <c r="B78" s="16">
        <v>60</v>
      </c>
      <c r="D78" s="20">
        <f t="shared" ref="D78:L78" si="111">zBarKelv(D10,$T$2)</f>
        <v>0.99974837723848153</v>
      </c>
      <c r="E78" s="20">
        <f t="shared" si="111"/>
        <v>0.99969808003701743</v>
      </c>
      <c r="F78" s="20">
        <f t="shared" si="111"/>
        <v>0.99964779195035725</v>
      </c>
      <c r="G78" s="20">
        <f t="shared" si="111"/>
        <v>0.99959751297758259</v>
      </c>
      <c r="H78" s="20">
        <f t="shared" si="111"/>
        <v>0.99954724311777476</v>
      </c>
      <c r="I78" s="20">
        <f t="shared" si="111"/>
        <v>0.99949698237001561</v>
      </c>
      <c r="J78" s="20">
        <f t="shared" si="111"/>
        <v>0.99944673073338619</v>
      </c>
      <c r="K78" s="20">
        <f t="shared" si="111"/>
        <v>0.84565244004106266</v>
      </c>
      <c r="L78" s="20">
        <f t="shared" si="111"/>
        <v>0.99972322749834164</v>
      </c>
      <c r="P78" s="17"/>
      <c r="Q78" s="17"/>
      <c r="R78" s="17"/>
      <c r="S78" s="17"/>
      <c r="T78" s="17"/>
      <c r="V78" s="17"/>
      <c r="AE78" s="17"/>
      <c r="AN78" s="17"/>
      <c r="AO78" s="17"/>
      <c r="AP78" s="17"/>
      <c r="AQ78" s="17"/>
    </row>
    <row r="79" spans="1:47" x14ac:dyDescent="0.25">
      <c r="A79" s="17"/>
      <c r="B79" s="16">
        <v>70</v>
      </c>
      <c r="D79" s="20">
        <f t="shared" ref="D79:L79" si="112">zBarKelv(D11,$T$2)</f>
        <v>0.99929022991403793</v>
      </c>
      <c r="E79" s="20">
        <f t="shared" si="112"/>
        <v>0.99914843330189729</v>
      </c>
      <c r="F79" s="20">
        <f t="shared" si="112"/>
        <v>0.99900668915541968</v>
      </c>
      <c r="G79" s="20">
        <f t="shared" si="112"/>
        <v>0.99886499747345947</v>
      </c>
      <c r="H79" s="20">
        <f t="shared" si="112"/>
        <v>0.99872335825487435</v>
      </c>
      <c r="I79" s="20">
        <f t="shared" si="112"/>
        <v>0.99858177149852445</v>
      </c>
      <c r="J79" s="20">
        <f t="shared" si="112"/>
        <v>0.99844023720327368</v>
      </c>
      <c r="K79" s="20">
        <f t="shared" si="112"/>
        <v>0.84565244004106266</v>
      </c>
      <c r="L79" s="20">
        <f t="shared" si="112"/>
        <v>0.99921932504968791</v>
      </c>
      <c r="P79" s="17"/>
      <c r="Q79" s="17"/>
      <c r="R79" s="17"/>
      <c r="S79" s="17"/>
      <c r="T79" s="17"/>
      <c r="V79" s="17"/>
      <c r="AE79" s="17"/>
      <c r="AN79" s="17"/>
      <c r="AO79" s="17"/>
      <c r="AP79" s="17"/>
      <c r="AQ79" s="17"/>
    </row>
    <row r="80" spans="1:47" x14ac:dyDescent="0.25">
      <c r="A80" s="17"/>
      <c r="B80" s="16">
        <v>80</v>
      </c>
      <c r="D80" s="20">
        <f t="shared" ref="D80:L80" si="113">zBarKelv(D12,$T$2)</f>
        <v>0.99809408189685156</v>
      </c>
      <c r="E80" s="20">
        <f t="shared" si="113"/>
        <v>0.99771397216661062</v>
      </c>
      <c r="F80" s="20">
        <f t="shared" si="113"/>
        <v>0.997334220596093</v>
      </c>
      <c r="G80" s="20">
        <f t="shared" si="113"/>
        <v>0.9969548272695119</v>
      </c>
      <c r="H80" s="20">
        <f t="shared" si="113"/>
        <v>0.9965757922711288</v>
      </c>
      <c r="I80" s="20">
        <f t="shared" si="113"/>
        <v>0.99619711568525149</v>
      </c>
      <c r="J80" s="20">
        <f t="shared" si="113"/>
        <v>0.99581879759623215</v>
      </c>
      <c r="K80" s="20">
        <f t="shared" si="113"/>
        <v>0.84565244004106266</v>
      </c>
      <c r="L80" s="20">
        <f t="shared" si="113"/>
        <v>0.99790398226702726</v>
      </c>
      <c r="P80" s="17"/>
      <c r="Q80" s="17"/>
      <c r="R80" s="17"/>
      <c r="S80" s="17"/>
      <c r="T80" s="17"/>
      <c r="V80" s="17"/>
      <c r="AE80" s="17"/>
      <c r="AN80" s="17"/>
      <c r="AO80" s="17"/>
      <c r="AP80" s="17"/>
      <c r="AQ80" s="17"/>
    </row>
    <row r="81" spans="1:43" x14ac:dyDescent="0.25">
      <c r="A81" s="17"/>
      <c r="B81" s="16">
        <v>90</v>
      </c>
      <c r="D81" s="20">
        <f t="shared" ref="D81:L81" si="114">zBarKelv(D13,$T$2)</f>
        <v>0.99699814857571911</v>
      </c>
      <c r="E81" s="20">
        <f t="shared" si="114"/>
        <v>0.99640166889737569</v>
      </c>
      <c r="F81" s="20">
        <f t="shared" si="114"/>
        <v>0.99580648292199081</v>
      </c>
      <c r="G81" s="20">
        <f t="shared" si="114"/>
        <v>0.99521258928521572</v>
      </c>
      <c r="H81" s="20">
        <f t="shared" si="114"/>
        <v>0.99461998661892781</v>
      </c>
      <c r="I81" s="20">
        <f t="shared" si="114"/>
        <v>0.99402867355122992</v>
      </c>
      <c r="J81" s="20">
        <f t="shared" si="114"/>
        <v>0.99343864870644982</v>
      </c>
      <c r="K81" s="20">
        <f t="shared" si="114"/>
        <v>0.84565244004106266</v>
      </c>
      <c r="L81" s="20">
        <f t="shared" si="114"/>
        <v>0.99669974693855323</v>
      </c>
      <c r="P81" s="17"/>
      <c r="Q81" s="17"/>
      <c r="R81" s="17"/>
      <c r="S81" s="17"/>
      <c r="T81" s="17"/>
      <c r="V81" s="17"/>
      <c r="AE81" s="17"/>
      <c r="AN81" s="17"/>
      <c r="AO81" s="17"/>
      <c r="AP81" s="17"/>
      <c r="AQ81" s="17"/>
    </row>
    <row r="82" spans="1:43" x14ac:dyDescent="0.25">
      <c r="A82" s="17"/>
      <c r="B82" s="16">
        <v>100</v>
      </c>
      <c r="D82" s="20">
        <f t="shared" ref="D82:L82" si="115">zBarKelv(D14,$T$2)</f>
        <v>0.99570867549632014</v>
      </c>
      <c r="E82" s="20">
        <f t="shared" si="115"/>
        <v>0.99485855478852092</v>
      </c>
      <c r="F82" s="20">
        <f t="shared" si="115"/>
        <v>0.99401113282535336</v>
      </c>
      <c r="G82" s="20">
        <f t="shared" si="115"/>
        <v>0.99316640276341872</v>
      </c>
      <c r="H82" s="20">
        <f t="shared" si="115"/>
        <v>0.99232435776345496</v>
      </c>
      <c r="I82" s="20">
        <f t="shared" si="115"/>
        <v>0.99148499099044252</v>
      </c>
      <c r="J82" s="20">
        <f t="shared" si="115"/>
        <v>0.99064829561371115</v>
      </c>
      <c r="K82" s="20">
        <f t="shared" si="115"/>
        <v>0.84565244004106266</v>
      </c>
      <c r="L82" s="20">
        <f t="shared" si="115"/>
        <v>0.99528327737147049</v>
      </c>
      <c r="P82" s="17"/>
      <c r="Q82" s="17"/>
      <c r="R82" s="17"/>
      <c r="S82" s="17"/>
      <c r="T82" s="17"/>
      <c r="V82" s="17"/>
      <c r="AE82" s="17"/>
      <c r="AN82" s="17"/>
      <c r="AO82" s="17"/>
      <c r="AP82" s="17"/>
      <c r="AQ82" s="17"/>
    </row>
    <row r="83" spans="1:43" x14ac:dyDescent="0.25">
      <c r="A83" s="17"/>
      <c r="B83" s="16">
        <v>110</v>
      </c>
      <c r="D83" s="20">
        <f t="shared" ref="D83:L83" si="116">zBarKelv(D15,$T$2)</f>
        <v>0.99427147389748649</v>
      </c>
      <c r="E83" s="20">
        <f t="shared" si="116"/>
        <v>0.99314034977703447</v>
      </c>
      <c r="F83" s="20">
        <f t="shared" si="116"/>
        <v>0.99201404517805436</v>
      </c>
      <c r="G83" s="20">
        <f t="shared" si="116"/>
        <v>0.99089254268008864</v>
      </c>
      <c r="H83" s="20">
        <f t="shared" si="116"/>
        <v>0.98977582490542337</v>
      </c>
      <c r="I83" s="20">
        <f t="shared" si="116"/>
        <v>0.98866387451932081</v>
      </c>
      <c r="J83" s="20">
        <f t="shared" si="116"/>
        <v>0.98755667423024995</v>
      </c>
      <c r="K83" s="20">
        <f t="shared" si="116"/>
        <v>0.84565244004106266</v>
      </c>
      <c r="L83" s="20">
        <f t="shared" si="116"/>
        <v>0.99370530830663473</v>
      </c>
      <c r="P83" s="17"/>
      <c r="Q83" s="17"/>
      <c r="R83" s="17"/>
      <c r="S83" s="17"/>
      <c r="T83" s="17"/>
      <c r="V83" s="17"/>
      <c r="AE83" s="17"/>
      <c r="AN83" s="17"/>
      <c r="AO83" s="17"/>
      <c r="AP83" s="17"/>
      <c r="AQ83" s="17"/>
    </row>
    <row r="84" spans="1:43" x14ac:dyDescent="0.25">
      <c r="A84" s="17"/>
      <c r="B84" s="16">
        <v>120</v>
      </c>
      <c r="D84" s="20">
        <f>zBarKelv(D16,$T$2)</f>
        <v>0.9927264685769831</v>
      </c>
      <c r="E84" s="20">
        <f t="shared" ref="E84:L84" si="117">zBarKelv(E16,$T$2)</f>
        <v>0.9912950967065568</v>
      </c>
      <c r="F84" s="20">
        <f t="shared" si="117"/>
        <v>0.98987141882111684</v>
      </c>
      <c r="G84" s="20">
        <f t="shared" si="117"/>
        <v>0.98845539910868485</v>
      </c>
      <c r="H84" s="20">
        <f t="shared" si="117"/>
        <v>0.98704700188511652</v>
      </c>
      <c r="I84" s="20">
        <f t="shared" si="117"/>
        <v>0.98564619159465439</v>
      </c>
      <c r="J84" s="20">
        <f t="shared" si="117"/>
        <v>0.98425293281046811</v>
      </c>
      <c r="K84" s="20">
        <f t="shared" si="117"/>
        <v>0.84565244004106266</v>
      </c>
      <c r="L84" s="20">
        <f t="shared" si="117"/>
        <v>0.99200981865041982</v>
      </c>
      <c r="P84" s="17"/>
      <c r="Q84" s="17"/>
      <c r="R84" s="17"/>
      <c r="S84" s="17"/>
      <c r="T84" s="17"/>
      <c r="V84" s="17"/>
      <c r="AE84" s="17"/>
      <c r="AN84" s="17"/>
      <c r="AO84" s="17"/>
      <c r="AP84" s="17"/>
      <c r="AQ84" s="17"/>
    </row>
    <row r="85" spans="1:43" x14ac:dyDescent="0.25">
      <c r="A85" s="17"/>
      <c r="B85" s="16">
        <v>130</v>
      </c>
      <c r="D85" s="20">
        <f t="shared" ref="D85:L85" si="118">zBarKelv(D17,$T$2)</f>
        <v>0.99110761014588045</v>
      </c>
      <c r="E85" s="20">
        <f t="shared" si="118"/>
        <v>0.98936351092900732</v>
      </c>
      <c r="F85" s="20">
        <f t="shared" si="118"/>
        <v>0.9876307228361354</v>
      </c>
      <c r="G85" s="20">
        <f t="shared" si="118"/>
        <v>0.98590918280022843</v>
      </c>
      <c r="H85" s="20">
        <f t="shared" si="118"/>
        <v>0.98419882803663905</v>
      </c>
      <c r="I85" s="20">
        <f t="shared" si="118"/>
        <v>0.98249959604466197</v>
      </c>
      <c r="J85" s="20">
        <f t="shared" si="118"/>
        <v>0.98081142460904713</v>
      </c>
      <c r="K85" s="20">
        <f t="shared" si="118"/>
        <v>0.84565244004106266</v>
      </c>
      <c r="L85" s="20">
        <f t="shared" si="118"/>
        <v>0.99023414269426635</v>
      </c>
      <c r="P85" s="17"/>
      <c r="Q85" s="17"/>
      <c r="R85" s="17"/>
      <c r="S85" s="17"/>
      <c r="T85" s="17"/>
      <c r="V85" s="17"/>
      <c r="AE85" s="17"/>
      <c r="AN85" s="17"/>
      <c r="AO85" s="17"/>
      <c r="AP85" s="17"/>
      <c r="AQ85" s="17"/>
    </row>
    <row r="86" spans="1:43" x14ac:dyDescent="0.25">
      <c r="A86" s="17"/>
      <c r="B86" s="16">
        <v>140</v>
      </c>
      <c r="D86" s="20">
        <f t="shared" ref="D86:L86" si="119">zBarKelv(D18,$T$2)</f>
        <v>0.98944268921389666</v>
      </c>
      <c r="E86" s="20">
        <f t="shared" si="119"/>
        <v>0.98737879768779691</v>
      </c>
      <c r="F86" s="20">
        <f t="shared" si="119"/>
        <v>0.98533052972955937</v>
      </c>
      <c r="G86" s="20">
        <f t="shared" si="119"/>
        <v>0.98329778633319642</v>
      </c>
      <c r="H86" s="20">
        <f t="shared" si="119"/>
        <v>0.98128046899247912</v>
      </c>
      <c r="I86" s="20">
        <f t="shared" si="119"/>
        <v>0.97927847970514115</v>
      </c>
      <c r="J86" s="20">
        <f t="shared" si="119"/>
        <v>0.97729172097696504</v>
      </c>
      <c r="K86" s="20">
        <f t="shared" si="119"/>
        <v>0.84565244004106266</v>
      </c>
      <c r="L86" s="20">
        <f t="shared" si="119"/>
        <v>0.98840878429758539</v>
      </c>
      <c r="P86" s="17"/>
      <c r="Q86" s="17"/>
      <c r="R86" s="17"/>
      <c r="S86" s="17"/>
      <c r="T86" s="17"/>
      <c r="V86" s="17"/>
      <c r="AE86" s="17"/>
      <c r="AN86" s="17"/>
      <c r="AO86" s="17"/>
      <c r="AP86" s="17"/>
      <c r="AQ86" s="17"/>
    </row>
    <row r="87" spans="1:43" x14ac:dyDescent="0.25">
      <c r="A87" s="17"/>
      <c r="B87" s="16">
        <v>150</v>
      </c>
      <c r="D87" s="20">
        <f t="shared" ref="D87:L87" si="120">zBarKelv(D19,$T$2)</f>
        <v>0.98775388852496515</v>
      </c>
      <c r="E87" s="20">
        <f t="shared" si="120"/>
        <v>0.98536736059500674</v>
      </c>
      <c r="F87" s="20">
        <f t="shared" si="120"/>
        <v>0.98300139550455912</v>
      </c>
      <c r="G87" s="20">
        <f t="shared" si="120"/>
        <v>0.98065585100157604</v>
      </c>
      <c r="H87" s="20">
        <f t="shared" si="120"/>
        <v>0.97833058557407693</v>
      </c>
      <c r="I87" s="20">
        <f t="shared" si="120"/>
        <v>0.97602545846071009</v>
      </c>
      <c r="J87" s="20">
        <f t="shared" si="120"/>
        <v>0.97374032966101964</v>
      </c>
      <c r="K87" s="20">
        <f t="shared" si="120"/>
        <v>0.84565244004106266</v>
      </c>
      <c r="L87" s="20">
        <f t="shared" si="120"/>
        <v>0.98655804528568036</v>
      </c>
      <c r="P87" s="17"/>
      <c r="Q87" s="17"/>
      <c r="R87" s="17"/>
      <c r="S87" s="17"/>
      <c r="T87" s="17"/>
      <c r="V87" s="17"/>
      <c r="AE87" s="17"/>
      <c r="AN87" s="17"/>
      <c r="AO87" s="17"/>
      <c r="AP87" s="17"/>
      <c r="AQ87" s="17"/>
    </row>
    <row r="88" spans="1:43" x14ac:dyDescent="0.25">
      <c r="A88" s="17"/>
      <c r="B88" s="17">
        <v>160</v>
      </c>
      <c r="D88" s="20">
        <f t="shared" ref="D88:L88" si="121">zBarKelv(D20,$T$2)</f>
        <v>0.98605858891208531</v>
      </c>
      <c r="E88" s="20">
        <f t="shared" si="121"/>
        <v>0.98334980547465645</v>
      </c>
      <c r="F88" s="20">
        <f t="shared" si="121"/>
        <v>0.98066707302390521</v>
      </c>
      <c r="G88" s="20">
        <f t="shared" si="121"/>
        <v>0.97801020106971925</v>
      </c>
      <c r="H88" s="20">
        <f t="shared" si="121"/>
        <v>0.97537900005165734</v>
      </c>
      <c r="I88" s="20">
        <f t="shared" si="121"/>
        <v>0.97277328136274477</v>
      </c>
      <c r="J88" s="20">
        <f t="shared" si="121"/>
        <v>0.97019285737264138</v>
      </c>
      <c r="K88" s="20">
        <f t="shared" si="121"/>
        <v>0.84565244004106266</v>
      </c>
      <c r="L88" s="20">
        <f t="shared" si="121"/>
        <v>0.98470092887875238</v>
      </c>
      <c r="P88" s="17"/>
      <c r="Q88" s="17"/>
      <c r="R88" s="17"/>
      <c r="S88" s="17"/>
      <c r="T88" s="17"/>
      <c r="V88" s="17"/>
      <c r="AE88" s="17"/>
      <c r="AN88" s="17"/>
      <c r="AO88" s="17"/>
      <c r="AP88" s="17"/>
      <c r="AQ88" s="17"/>
    </row>
    <row r="89" spans="1:43" x14ac:dyDescent="0.25">
      <c r="B89">
        <v>170</v>
      </c>
      <c r="D89" s="20">
        <f t="shared" ref="D89:L89" si="122">zBarKelv(D21,$T$2)</f>
        <v>0.98437020018104371</v>
      </c>
      <c r="E89" s="20">
        <f t="shared" si="122"/>
        <v>0.98134196361497372</v>
      </c>
      <c r="F89" s="20">
        <f t="shared" si="122"/>
        <v>0.9783457355751497</v>
      </c>
      <c r="G89" s="20">
        <f t="shared" si="122"/>
        <v>0.97538127527433782</v>
      </c>
      <c r="H89" s="20">
        <f t="shared" si="122"/>
        <v>0.97244834289419313</v>
      </c>
      <c r="I89" s="20">
        <f t="shared" si="122"/>
        <v>0.96954669963318685</v>
      </c>
      <c r="J89" s="20">
        <f t="shared" si="122"/>
        <v>0.96667610775338253</v>
      </c>
      <c r="K89" s="20">
        <f t="shared" si="122"/>
        <v>0.84565244004106266</v>
      </c>
      <c r="L89" s="20">
        <f t="shared" si="122"/>
        <v>0.98285206574651296</v>
      </c>
      <c r="S89" s="20"/>
      <c r="T89" s="20"/>
      <c r="V89" s="20"/>
      <c r="W89" s="20"/>
      <c r="X89" s="20"/>
      <c r="Y89" s="20"/>
      <c r="Z89" s="20"/>
      <c r="AA89" s="20"/>
      <c r="AB89" s="20"/>
      <c r="AC89" s="20"/>
    </row>
    <row r="90" spans="1:43" x14ac:dyDescent="0.25">
      <c r="B90">
        <v>180</v>
      </c>
      <c r="D90" s="20">
        <f t="shared" ref="D90:L90" si="123">zBarKelv(D22,$T$2)</f>
        <v>0.98269891736013526</v>
      </c>
      <c r="E90" s="20">
        <f t="shared" si="123"/>
        <v>0.97935581631506441</v>
      </c>
      <c r="F90" s="20">
        <f t="shared" si="123"/>
        <v>0.97605107463155005</v>
      </c>
      <c r="G90" s="20">
        <f t="shared" si="123"/>
        <v>0.97278440241467812</v>
      </c>
      <c r="H90" s="20">
        <f t="shared" si="123"/>
        <v>0.96955551051316446</v>
      </c>
      <c r="I90" s="20">
        <f t="shared" si="123"/>
        <v>0.96636411060664651</v>
      </c>
      <c r="J90" s="20">
        <f t="shared" si="123"/>
        <v>0.96320991529110533</v>
      </c>
      <c r="K90" s="20">
        <f t="shared" si="123"/>
        <v>0.84565244004106266</v>
      </c>
      <c r="L90" s="20">
        <f t="shared" si="123"/>
        <v>0.98102255377234993</v>
      </c>
      <c r="S90" s="20"/>
      <c r="T90" s="20"/>
      <c r="V90" s="20"/>
      <c r="W90" s="20"/>
      <c r="X90" s="20"/>
      <c r="Y90" s="20"/>
      <c r="Z90" s="20"/>
      <c r="AA90" s="20"/>
      <c r="AB90" s="20"/>
      <c r="AC90" s="20"/>
    </row>
    <row r="91" spans="1:43" x14ac:dyDescent="0.25">
      <c r="B91">
        <v>190</v>
      </c>
      <c r="D91" s="20">
        <f t="shared" ref="D91:L91" si="124">zBarKelv(D23,$T$2)</f>
        <v>0.98105236828496556</v>
      </c>
      <c r="E91" s="20">
        <f t="shared" si="124"/>
        <v>0.97740028204343654</v>
      </c>
      <c r="F91" s="20">
        <f t="shared" si="124"/>
        <v>0.97379322929849221</v>
      </c>
      <c r="G91" s="20">
        <f t="shared" si="124"/>
        <v>0.97023087555470877</v>
      </c>
      <c r="H91" s="20">
        <f t="shared" si="124"/>
        <v>0.96671288645425901</v>
      </c>
      <c r="I91" s="20">
        <f t="shared" si="124"/>
        <v>0.96323892792272325</v>
      </c>
      <c r="J91" s="20">
        <f t="shared" si="124"/>
        <v>0.95980866631223161</v>
      </c>
      <c r="K91" s="20">
        <f t="shared" si="124"/>
        <v>0.84565244004106266</v>
      </c>
      <c r="L91" s="20">
        <f t="shared" si="124"/>
        <v>0.97922067506983002</v>
      </c>
      <c r="S91" s="20"/>
      <c r="T91" s="20"/>
      <c r="V91" s="20"/>
      <c r="W91" s="20"/>
      <c r="X91" s="20"/>
      <c r="Y91" s="20"/>
      <c r="Z91" s="20"/>
      <c r="AA91" s="20"/>
      <c r="AB91" s="20"/>
      <c r="AC91" s="20"/>
    </row>
    <row r="92" spans="1:43" x14ac:dyDescent="0.25">
      <c r="B92">
        <v>200</v>
      </c>
      <c r="D92" s="20">
        <f t="shared" ref="D92:L92" si="125">zBarKelv(D24,$T$2)</f>
        <v>0.9794361495888535</v>
      </c>
      <c r="E92" s="20">
        <f t="shared" si="125"/>
        <v>0.97548186475191134</v>
      </c>
      <c r="F92" s="20">
        <f t="shared" si="125"/>
        <v>0.97157954818217629</v>
      </c>
      <c r="G92" s="20">
        <f t="shared" si="125"/>
        <v>0.96772882849700714</v>
      </c>
      <c r="H92" s="20">
        <f t="shared" si="125"/>
        <v>0.9639293333565363</v>
      </c>
      <c r="I92" s="20">
        <f t="shared" si="125"/>
        <v>0.96018068969001702</v>
      </c>
      <c r="J92" s="20">
        <f t="shared" si="125"/>
        <v>0.95648252391884592</v>
      </c>
      <c r="K92" s="20">
        <f t="shared" si="125"/>
        <v>0.84565244004106266</v>
      </c>
      <c r="L92" s="20">
        <f t="shared" si="125"/>
        <v>0.97745248796921302</v>
      </c>
      <c r="S92" s="20"/>
      <c r="T92" s="20"/>
      <c r="V92" s="20"/>
      <c r="W92" s="20"/>
      <c r="X92" s="20"/>
      <c r="Y92" s="20"/>
      <c r="Z92" s="20"/>
      <c r="AA92" s="20"/>
      <c r="AB92" s="20"/>
      <c r="AC92" s="20"/>
    </row>
    <row r="93" spans="1:43" x14ac:dyDescent="0.25">
      <c r="B93">
        <v>210</v>
      </c>
      <c r="D93" s="20">
        <f t="shared" ref="D93:L93" si="126">zBarKelv(D25,$T$2)</f>
        <v>0.97785426144516652</v>
      </c>
      <c r="E93" s="20">
        <f t="shared" si="126"/>
        <v>0.97360517742080743</v>
      </c>
      <c r="F93" s="20">
        <f t="shared" si="126"/>
        <v>0.96941520203284026</v>
      </c>
      <c r="G93" s="20">
        <f t="shared" si="126"/>
        <v>0.96528393769849197</v>
      </c>
      <c r="H93" s="20">
        <f t="shared" si="126"/>
        <v>0.96121098420223405</v>
      </c>
      <c r="I93" s="20">
        <f t="shared" si="126"/>
        <v>0.95719593902592426</v>
      </c>
      <c r="J93" s="20">
        <f t="shared" si="126"/>
        <v>0.95323839767551211</v>
      </c>
      <c r="K93" s="20">
        <f t="shared" si="126"/>
        <v>0.84565244004106266</v>
      </c>
      <c r="L93" s="20">
        <f t="shared" si="126"/>
        <v>0.97572230611644961</v>
      </c>
      <c r="S93" s="20"/>
      <c r="T93" s="20"/>
      <c r="V93" s="20"/>
      <c r="W93" s="20"/>
      <c r="X93" s="20"/>
      <c r="Y93" s="20"/>
      <c r="Z93" s="20"/>
      <c r="AA93" s="20"/>
      <c r="AB93" s="20"/>
      <c r="AC93" s="20"/>
    </row>
    <row r="94" spans="1:43" x14ac:dyDescent="0.25">
      <c r="B94">
        <v>220</v>
      </c>
      <c r="D94" s="20">
        <f t="shared" ref="D94:L94" si="127">zBarKelv(D26,$T$2)</f>
        <v>0.9763094558326364</v>
      </c>
      <c r="E94" s="20">
        <f t="shared" si="127"/>
        <v>0.97177335978619461</v>
      </c>
      <c r="F94" s="20">
        <f t="shared" si="127"/>
        <v>0.9673036706767959</v>
      </c>
      <c r="G94" s="20">
        <f t="shared" si="127"/>
        <v>0.96289997807833816</v>
      </c>
      <c r="H94" s="20">
        <f t="shared" si="127"/>
        <v>0.95856186660484122</v>
      </c>
      <c r="I94" s="20">
        <f t="shared" si="127"/>
        <v>0.95428891636693003</v>
      </c>
      <c r="J94" s="20">
        <f t="shared" si="127"/>
        <v>0.95008070342586215</v>
      </c>
      <c r="K94" s="20">
        <f t="shared" si="127"/>
        <v>0.84565244004106266</v>
      </c>
      <c r="L94" s="20">
        <f t="shared" si="127"/>
        <v>0.97403308149692225</v>
      </c>
      <c r="S94" s="20"/>
      <c r="T94" s="20"/>
      <c r="V94" s="20"/>
      <c r="W94" s="20"/>
      <c r="X94" s="20"/>
      <c r="Y94" s="20"/>
      <c r="Z94" s="20"/>
      <c r="AA94" s="20"/>
      <c r="AB94" s="20"/>
      <c r="AC94" s="20"/>
      <c r="AF94" s="19" t="s">
        <v>21</v>
      </c>
    </row>
    <row r="95" spans="1:43" x14ac:dyDescent="0.25">
      <c r="B95">
        <v>230</v>
      </c>
      <c r="D95" s="20">
        <f t="shared" ref="D95:L95" si="128">zBarKelv(D27,$T$2)</f>
        <v>0.97480351337645554</v>
      </c>
      <c r="E95" s="20">
        <f t="shared" si="128"/>
        <v>0.96998840916723927</v>
      </c>
      <c r="F95" s="20">
        <f t="shared" si="128"/>
        <v>0.96524712727576911</v>
      </c>
      <c r="G95" s="20">
        <f t="shared" si="128"/>
        <v>0.96057926012017658</v>
      </c>
      <c r="H95" s="20">
        <f t="shared" si="128"/>
        <v>0.95598439213253927</v>
      </c>
      <c r="I95" s="20">
        <f t="shared" si="128"/>
        <v>0.95146210036141066</v>
      </c>
      <c r="J95" s="20">
        <f t="shared" si="128"/>
        <v>0.94701195507467295</v>
      </c>
      <c r="K95" s="20">
        <f t="shared" si="128"/>
        <v>0.84565244004106266</v>
      </c>
      <c r="L95" s="20">
        <f t="shared" si="128"/>
        <v>0.97238670833667107</v>
      </c>
      <c r="S95" s="20"/>
      <c r="T95" s="20"/>
      <c r="V95" s="20"/>
      <c r="W95" s="20"/>
      <c r="X95" s="20"/>
      <c r="Y95" s="20"/>
      <c r="Z95" s="20"/>
      <c r="AA95" s="20"/>
      <c r="AB95" s="20"/>
      <c r="AC95" s="20"/>
    </row>
    <row r="96" spans="1:43" x14ac:dyDescent="0.25">
      <c r="B96">
        <v>240</v>
      </c>
      <c r="D96" s="20">
        <f t="shared" ref="D96:L96" si="129">zBarKelv(D28,$T$2)</f>
        <v>0.97333746235627139</v>
      </c>
      <c r="E96" s="20">
        <f t="shared" si="129"/>
        <v>0.96825144127377172</v>
      </c>
      <c r="F96" s="20">
        <f t="shared" si="129"/>
        <v>0.96324674024515233</v>
      </c>
      <c r="G96" s="20">
        <f t="shared" si="129"/>
        <v>0.95832297220338991</v>
      </c>
      <c r="H96" s="20">
        <f t="shared" si="129"/>
        <v>0.95347973834649946</v>
      </c>
      <c r="I96" s="20">
        <f t="shared" si="129"/>
        <v>0.94871662890085162</v>
      </c>
      <c r="J96" s="20">
        <f t="shared" si="129"/>
        <v>0.94403322389023037</v>
      </c>
      <c r="K96" s="20">
        <f t="shared" si="129"/>
        <v>0.84565244004106266</v>
      </c>
      <c r="L96" s="20">
        <f t="shared" si="129"/>
        <v>0.97078426309572485</v>
      </c>
      <c r="S96" s="20"/>
      <c r="T96" s="20"/>
      <c r="V96" s="20"/>
      <c r="W96" s="20"/>
      <c r="X96" s="20"/>
      <c r="Y96" s="20"/>
      <c r="Z96" s="20"/>
      <c r="AA96" s="20"/>
      <c r="AB96" s="20"/>
      <c r="AC96" s="20"/>
    </row>
    <row r="97" spans="2:29" x14ac:dyDescent="0.25">
      <c r="B97">
        <v>250</v>
      </c>
      <c r="D97" s="20">
        <f t="shared" ref="D97:L97" si="130">zBarKelv(D29,$T$2)</f>
        <v>0.97191175144595554</v>
      </c>
      <c r="E97" s="20">
        <f t="shared" si="130"/>
        <v>0.96656289523841321</v>
      </c>
      <c r="F97" s="20">
        <f t="shared" si="130"/>
        <v>0.96130290985392919</v>
      </c>
      <c r="G97" s="20">
        <f t="shared" si="130"/>
        <v>0.95613144805497163</v>
      </c>
      <c r="H97" s="20">
        <f t="shared" si="130"/>
        <v>0.9510481463963949</v>
      </c>
      <c r="I97" s="20">
        <f t="shared" si="130"/>
        <v>0.94605262615733521</v>
      </c>
      <c r="J97" s="20">
        <f t="shared" si="130"/>
        <v>0.94114449428779989</v>
      </c>
      <c r="K97" s="20">
        <f t="shared" si="130"/>
        <v>0.84565244004106266</v>
      </c>
      <c r="L97" s="20">
        <f t="shared" si="130"/>
        <v>0.96922619344521121</v>
      </c>
      <c r="S97" s="20"/>
      <c r="T97" s="20"/>
      <c r="V97" s="20"/>
      <c r="W97" s="20"/>
      <c r="X97" s="20"/>
      <c r="Y97" s="20"/>
      <c r="Z97" s="20"/>
      <c r="AA97" s="20"/>
      <c r="AB97" s="20"/>
      <c r="AC97" s="20"/>
    </row>
    <row r="98" spans="2:29" x14ac:dyDescent="0.25">
      <c r="B98">
        <v>260</v>
      </c>
      <c r="D98" s="20">
        <f t="shared" ref="D98:L98" si="131">zBarKelv(D30,$T$2)</f>
        <v>0.97052638570591421</v>
      </c>
      <c r="E98" s="20">
        <f t="shared" si="131"/>
        <v>0.96492269452355095</v>
      </c>
      <c r="F98" s="20">
        <f t="shared" si="131"/>
        <v>0.95941545334314537</v>
      </c>
      <c r="G98" s="20">
        <f t="shared" si="131"/>
        <v>0.95400437539592331</v>
      </c>
      <c r="H98" s="20">
        <f t="shared" si="131"/>
        <v>0.94868915252866759</v>
      </c>
      <c r="I98" s="20">
        <f t="shared" si="131"/>
        <v>0.94346945630324308</v>
      </c>
      <c r="J98" s="20">
        <f t="shared" si="131"/>
        <v>0.9383449391242582</v>
      </c>
      <c r="K98" s="20">
        <f t="shared" si="131"/>
        <v>0.84565244004106266</v>
      </c>
      <c r="L98" s="20">
        <f t="shared" si="131"/>
        <v>0.96771246680620904</v>
      </c>
      <c r="S98" s="20"/>
      <c r="T98" s="20"/>
      <c r="V98" s="20"/>
      <c r="W98" s="20"/>
      <c r="X98" s="20"/>
      <c r="Y98" s="20"/>
      <c r="Z98" s="20"/>
      <c r="AA98" s="20"/>
      <c r="AB98" s="20"/>
      <c r="AC98" s="20"/>
    </row>
    <row r="99" spans="2:29" x14ac:dyDescent="0.25">
      <c r="B99">
        <v>270</v>
      </c>
      <c r="D99" s="20">
        <f t="shared" ref="D99:L99" si="132">zBarKelv(D31,$T$2)</f>
        <v>0.96918103351381746</v>
      </c>
      <c r="E99" s="20">
        <f t="shared" si="132"/>
        <v>0.96333037305710889</v>
      </c>
      <c r="F99" s="20">
        <f t="shared" si="132"/>
        <v>0.95758374961522974</v>
      </c>
      <c r="G99" s="20">
        <f t="shared" si="132"/>
        <v>0.95194095855839977</v>
      </c>
      <c r="H99" s="20">
        <f t="shared" si="132"/>
        <v>0.94640176802887044</v>
      </c>
      <c r="I99" s="20">
        <f t="shared" si="132"/>
        <v>0.94096592019688308</v>
      </c>
      <c r="J99" s="20">
        <f t="shared" si="132"/>
        <v>0.93563313256360914</v>
      </c>
      <c r="K99" s="20">
        <f t="shared" si="132"/>
        <v>0.84565244004106266</v>
      </c>
      <c r="L99" s="20">
        <f t="shared" si="132"/>
        <v>0.96624268696615645</v>
      </c>
      <c r="S99" s="20"/>
      <c r="T99" s="20"/>
      <c r="V99" s="20"/>
      <c r="W99" s="20"/>
      <c r="X99" s="20"/>
      <c r="Y99" s="20"/>
      <c r="Z99" s="20"/>
      <c r="AA99" s="20"/>
      <c r="AB99" s="20"/>
      <c r="AC99" s="20"/>
    </row>
    <row r="100" spans="2:29" x14ac:dyDescent="0.25">
      <c r="B100">
        <v>280</v>
      </c>
      <c r="D100" s="20">
        <f t="shared" ref="D100:L100" si="133">zBarKelv(D32,$T$2)</f>
        <v>0.96787511056503406</v>
      </c>
      <c r="E100" s="20">
        <f t="shared" si="133"/>
        <v>0.96178517402402997</v>
      </c>
      <c r="F100" s="20">
        <f t="shared" si="133"/>
        <v>0.95580685223039008</v>
      </c>
      <c r="G100" s="20">
        <f t="shared" si="133"/>
        <v>0.94994004512950814</v>
      </c>
      <c r="H100" s="20">
        <f t="shared" si="133"/>
        <v>0.94418461898107886</v>
      </c>
      <c r="I100" s="20">
        <f t="shared" si="133"/>
        <v>0.93854040774880254</v>
      </c>
      <c r="J100" s="20">
        <f t="shared" si="133"/>
        <v>0.93300721456218227</v>
      </c>
      <c r="K100" s="20">
        <f t="shared" si="133"/>
        <v>0.84565244004106266</v>
      </c>
      <c r="L100" s="20">
        <f t="shared" si="133"/>
        <v>0.9648161855499886</v>
      </c>
      <c r="S100" s="20"/>
      <c r="T100" s="20"/>
      <c r="V100" s="20"/>
      <c r="W100" s="20"/>
      <c r="X100" s="20"/>
      <c r="Y100" s="20"/>
      <c r="Z100" s="20"/>
      <c r="AA100" s="20"/>
      <c r="AB100" s="20"/>
      <c r="AC100" s="20"/>
    </row>
    <row r="101" spans="2:29" x14ac:dyDescent="0.25">
      <c r="B101">
        <v>290</v>
      </c>
      <c r="D101" s="20">
        <f t="shared" ref="D101:L101" si="134">zBarKelv(D33,$T$2)</f>
        <v>0.96660784579901127</v>
      </c>
      <c r="E101" s="20">
        <f t="shared" si="134"/>
        <v>0.96028612717140394</v>
      </c>
      <c r="F101" s="20">
        <f t="shared" si="134"/>
        <v>0.9540835775734372</v>
      </c>
      <c r="G101" s="20">
        <f t="shared" si="134"/>
        <v>0.94800022449206833</v>
      </c>
      <c r="H101" s="20">
        <f t="shared" si="134"/>
        <v>0.94203605472117258</v>
      </c>
      <c r="I101" s="20">
        <f t="shared" si="134"/>
        <v>0.93619101584986419</v>
      </c>
      <c r="J101" s="20">
        <f t="shared" si="134"/>
        <v>0.93046501785502211</v>
      </c>
      <c r="K101" s="20">
        <f t="shared" si="134"/>
        <v>0.84565244004106266</v>
      </c>
      <c r="L101" s="20">
        <f t="shared" si="134"/>
        <v>0.96343209370247695</v>
      </c>
    </row>
    <row r="102" spans="2:29" x14ac:dyDescent="0.25">
      <c r="B102">
        <v>300</v>
      </c>
      <c r="D102" s="20">
        <f t="shared" ref="D102:L102" si="135">zBarKelv(D34,$T$2)</f>
        <v>0.96537833308211085</v>
      </c>
      <c r="E102" s="20">
        <f t="shared" si="135"/>
        <v>0.95883210923050277</v>
      </c>
      <c r="F102" s="20">
        <f t="shared" si="135"/>
        <v>0.95241257356512277</v>
      </c>
      <c r="G102" s="20">
        <f t="shared" si="135"/>
        <v>0.94611990440389304</v>
      </c>
      <c r="H102" s="20">
        <f t="shared" si="135"/>
        <v>0.93995423188841465</v>
      </c>
      <c r="I102" s="20">
        <f t="shared" si="135"/>
        <v>0.93391563952263912</v>
      </c>
      <c r="J102" s="20">
        <f t="shared" si="135"/>
        <v>0.9280041658554411</v>
      </c>
      <c r="K102" s="20">
        <f t="shared" si="135"/>
        <v>0.84565244004106266</v>
      </c>
      <c r="L102" s="20">
        <f t="shared" si="135"/>
        <v>0.96208939819880401</v>
      </c>
    </row>
    <row r="103" spans="2:29" x14ac:dyDescent="0.25">
      <c r="B103">
        <v>310</v>
      </c>
      <c r="D103" s="20">
        <f t="shared" ref="D103:L103" si="136">zBarKelv(D35,$T$2)</f>
        <v>0.96418557166195584</v>
      </c>
      <c r="E103" s="20">
        <f t="shared" si="136"/>
        <v>0.95742189106658704</v>
      </c>
      <c r="F103" s="20">
        <f t="shared" si="136"/>
        <v>0.95079237311973741</v>
      </c>
      <c r="G103" s="20">
        <f t="shared" si="136"/>
        <v>0.94429737040245143</v>
      </c>
      <c r="H103" s="20">
        <f t="shared" si="136"/>
        <v>0.93793717944078592</v>
      </c>
      <c r="I103" s="20">
        <f t="shared" si="136"/>
        <v>0.9317120422329831</v>
      </c>
      <c r="J103" s="20">
        <f t="shared" si="136"/>
        <v>0.92562214796821085</v>
      </c>
      <c r="K103" s="20">
        <f t="shared" si="136"/>
        <v>0.84565244004106266</v>
      </c>
      <c r="L103" s="20">
        <f t="shared" si="136"/>
        <v>0.96078698529689055</v>
      </c>
    </row>
    <row r="104" spans="2:29" x14ac:dyDescent="0.25">
      <c r="B104">
        <v>320</v>
      </c>
      <c r="D104" s="20">
        <f t="shared" ref="D104:L104" si="137">zBarKelv(D36,$T$2)</f>
        <v>0.96302849776467569</v>
      </c>
      <c r="E104" s="20">
        <f t="shared" si="137"/>
        <v>0.95605417438747597</v>
      </c>
      <c r="F104" s="20">
        <f t="shared" si="137"/>
        <v>0.94922143563331918</v>
      </c>
      <c r="G104" s="20">
        <f t="shared" si="137"/>
        <v>0.94253083176589358</v>
      </c>
      <c r="H104" s="20">
        <f t="shared" si="137"/>
        <v>0.93598284880454363</v>
      </c>
      <c r="I104" s="20">
        <f t="shared" si="137"/>
        <v>0.92957790996425815</v>
      </c>
      <c r="J104" s="20">
        <f t="shared" si="137"/>
        <v>0.92331637734304584</v>
      </c>
      <c r="K104" s="20">
        <f t="shared" si="137"/>
        <v>0.84565244004106266</v>
      </c>
      <c r="L104" s="20">
        <f t="shared" si="137"/>
        <v>0.95952367493341717</v>
      </c>
    </row>
    <row r="105" spans="2:29" x14ac:dyDescent="0.25">
      <c r="B105">
        <v>330</v>
      </c>
      <c r="D105" s="20">
        <f t="shared" ref="D105:L105" si="138">zBarKelv(D37,$T$2)</f>
        <v>0.96190600920045422</v>
      </c>
      <c r="E105" s="20">
        <f t="shared" si="138"/>
        <v>0.95472762023126734</v>
      </c>
      <c r="F105" s="20">
        <f t="shared" si="138"/>
        <v>0.94769817907120013</v>
      </c>
      <c r="G105" s="20">
        <f t="shared" si="138"/>
        <v>0.94081845694068988</v>
      </c>
      <c r="H105" s="20">
        <f t="shared" si="138"/>
        <v>0.93408915240277279</v>
      </c>
      <c r="I105" s="20">
        <f t="shared" si="138"/>
        <v>0.92751089262631159</v>
      </c>
      <c r="J105" s="20">
        <f t="shared" si="138"/>
        <v>0.92108423496051006</v>
      </c>
      <c r="K105" s="20">
        <f t="shared" si="138"/>
        <v>0.84565244004106266</v>
      </c>
      <c r="L105" s="20">
        <f t="shared" si="138"/>
        <v>0.95829824730724766</v>
      </c>
    </row>
    <row r="106" spans="2:29" x14ac:dyDescent="0.25">
      <c r="B106">
        <v>340</v>
      </c>
      <c r="D106" s="20">
        <f t="shared" ref="D106:L106" si="139">zBarKelv(D38,$T$2)</f>
        <v>0.96081698444588404</v>
      </c>
      <c r="E106" s="20">
        <f t="shared" si="139"/>
        <v>0.95344087097632035</v>
      </c>
      <c r="F106" s="20">
        <f t="shared" si="139"/>
        <v>0.94622100466619086</v>
      </c>
      <c r="G106" s="20">
        <f t="shared" si="139"/>
        <v>0.93915840070887924</v>
      </c>
      <c r="H106" s="20">
        <f t="shared" si="139"/>
        <v>0.93225399309111301</v>
      </c>
      <c r="I106" s="20">
        <f t="shared" si="139"/>
        <v>0.9255086355760419</v>
      </c>
      <c r="J106" s="20">
        <f t="shared" si="139"/>
        <v>0.91892310306927039</v>
      </c>
      <c r="K106" s="20">
        <f t="shared" si="139"/>
        <v>0.94485385655706267</v>
      </c>
      <c r="L106" s="20">
        <f t="shared" si="139"/>
        <v>0.95710946345686809</v>
      </c>
    </row>
    <row r="107" spans="2:29" x14ac:dyDescent="0.25">
      <c r="B107">
        <v>350</v>
      </c>
      <c r="D107" s="20">
        <f t="shared" ref="D107:L107" si="140">zBarKelv(D39,$T$2)</f>
        <v>0.95976029736051893</v>
      </c>
      <c r="E107" s="20">
        <f t="shared" si="140"/>
        <v>0.95219256724374035</v>
      </c>
      <c r="F107" s="20">
        <f t="shared" si="140"/>
        <v>0.9447883158045145</v>
      </c>
      <c r="G107" s="20">
        <f t="shared" si="140"/>
        <v>0.93754882487303115</v>
      </c>
      <c r="H107" s="20">
        <f t="shared" si="140"/>
        <v>0.93047528647391964</v>
      </c>
      <c r="I107" s="20">
        <f t="shared" si="140"/>
        <v>0.92356880341218017</v>
      </c>
      <c r="J107" s="20">
        <f t="shared" si="140"/>
        <v>0.91683039032093294</v>
      </c>
      <c r="K107" s="20">
        <f t="shared" si="140"/>
        <v>0.93722407131316765</v>
      </c>
      <c r="L107" s="20">
        <f t="shared" si="140"/>
        <v>0.95595608109640451</v>
      </c>
    </row>
    <row r="108" spans="2:29" x14ac:dyDescent="0.25">
      <c r="B108">
        <v>360</v>
      </c>
      <c r="D108" s="20">
        <f t="shared" ref="D108:L108" si="141">zBarKelv(D40,$T$2)</f>
        <v>0.95873482845108227</v>
      </c>
      <c r="E108" s="20">
        <f t="shared" si="141"/>
        <v>0.95098136077112805</v>
      </c>
      <c r="F108" s="20">
        <f t="shared" si="141"/>
        <v>0.94339853233820248</v>
      </c>
      <c r="G108" s="20">
        <f t="shared" si="141"/>
        <v>0.93598791385234825</v>
      </c>
      <c r="H108" s="20">
        <f t="shared" si="141"/>
        <v>0.92875097764388148</v>
      </c>
      <c r="I108" s="20">
        <f t="shared" si="141"/>
        <v>0.92168909773187779</v>
      </c>
      <c r="J108" s="20">
        <f t="shared" si="141"/>
        <v>0.91480355042969075</v>
      </c>
      <c r="K108" s="20">
        <f t="shared" si="141"/>
        <v>0.93600652628261549</v>
      </c>
      <c r="L108" s="20">
        <f t="shared" si="141"/>
        <v>0.95483686670701029</v>
      </c>
    </row>
    <row r="109" spans="2:29" x14ac:dyDescent="0.25">
      <c r="B109">
        <v>370</v>
      </c>
      <c r="D109" s="20">
        <f t="shared" ref="D109:L109" si="142">zBarKelv(D41,$T$2)</f>
        <v>0.95773947340538135</v>
      </c>
      <c r="E109" s="20">
        <f t="shared" si="142"/>
        <v>0.94980592410827569</v>
      </c>
      <c r="F109" s="20">
        <f t="shared" si="142"/>
        <v>0.94205010129854772</v>
      </c>
      <c r="G109" s="20">
        <f t="shared" si="142"/>
        <v>0.93447388628386008</v>
      </c>
      <c r="H109" s="20">
        <f t="shared" si="142"/>
        <v>0.92707905355399112</v>
      </c>
      <c r="I109" s="20">
        <f t="shared" si="142"/>
        <v>0.91986727016864389</v>
      </c>
      <c r="J109" s="20">
        <f t="shared" si="142"/>
        <v>0.91284009578276648</v>
      </c>
      <c r="K109" s="20">
        <f t="shared" si="142"/>
        <v>0.934472818488851</v>
      </c>
      <c r="L109" s="20">
        <f t="shared" si="142"/>
        <v>0.95375060467059003</v>
      </c>
    </row>
    <row r="110" spans="2:29" x14ac:dyDescent="0.25">
      <c r="B110">
        <v>380</v>
      </c>
      <c r="D110" s="20">
        <f t="shared" ref="D110:L110" si="143">zBarKelv(D42,$T$2)</f>
        <v>0.95677314946755498</v>
      </c>
      <c r="E110" s="20">
        <f t="shared" si="143"/>
        <v>0.94866495780673676</v>
      </c>
      <c r="F110" s="20">
        <f t="shared" si="143"/>
        <v>0.94074150477873708</v>
      </c>
      <c r="G110" s="20">
        <f t="shared" si="143"/>
        <v>0.93300500348910631</v>
      </c>
      <c r="H110" s="20">
        <f t="shared" si="143"/>
        <v>0.92545755197075996</v>
      </c>
      <c r="I110" s="20">
        <f t="shared" si="143"/>
        <v>0.91810113174537644</v>
      </c>
      <c r="J110" s="20">
        <f t="shared" si="143"/>
        <v>0.91093760711670746</v>
      </c>
      <c r="K110" s="20">
        <f t="shared" si="143"/>
        <v>0.93300506477777967</v>
      </c>
      <c r="L110" s="20">
        <f t="shared" si="143"/>
        <v>0.95269610406816096</v>
      </c>
    </row>
    <row r="111" spans="2:29" x14ac:dyDescent="0.25">
      <c r="B111">
        <v>390</v>
      </c>
      <c r="D111" s="20">
        <f t="shared" ref="D111:L111" si="144">zBarKelv(D43,$T$2)</f>
        <v>1</v>
      </c>
      <c r="E111" s="20">
        <f t="shared" si="144"/>
        <v>1</v>
      </c>
      <c r="F111" s="20">
        <f t="shared" si="144"/>
        <v>1</v>
      </c>
      <c r="G111" s="20">
        <f t="shared" si="144"/>
        <v>1</v>
      </c>
      <c r="H111" s="20">
        <f t="shared" si="144"/>
        <v>1</v>
      </c>
      <c r="I111" s="20">
        <f t="shared" si="144"/>
        <v>1</v>
      </c>
      <c r="J111" s="20">
        <f t="shared" si="144"/>
        <v>1</v>
      </c>
      <c r="K111" s="20">
        <f t="shared" si="144"/>
        <v>1</v>
      </c>
      <c r="L111" s="20">
        <f t="shared" si="144"/>
        <v>1</v>
      </c>
    </row>
    <row r="112" spans="2:29" x14ac:dyDescent="0.25">
      <c r="B112">
        <v>400</v>
      </c>
      <c r="D112" s="20">
        <f t="shared" ref="D112:L112" si="145">zBarKelv(D44,$T$2)</f>
        <v>1</v>
      </c>
      <c r="E112" s="20">
        <f t="shared" si="145"/>
        <v>1</v>
      </c>
      <c r="F112" s="20">
        <f t="shared" si="145"/>
        <v>1</v>
      </c>
      <c r="G112" s="20">
        <f t="shared" si="145"/>
        <v>1</v>
      </c>
      <c r="H112" s="20">
        <f t="shared" si="145"/>
        <v>1</v>
      </c>
      <c r="I112" s="20">
        <f t="shared" si="145"/>
        <v>1</v>
      </c>
      <c r="J112" s="20">
        <f t="shared" si="145"/>
        <v>1</v>
      </c>
      <c r="K112" s="20">
        <f t="shared" si="145"/>
        <v>1</v>
      </c>
      <c r="L112" s="20">
        <f t="shared" si="145"/>
        <v>1</v>
      </c>
    </row>
    <row r="113" spans="2:12" x14ac:dyDescent="0.25">
      <c r="B113">
        <v>410</v>
      </c>
      <c r="D113" s="20">
        <f t="shared" ref="D113:L113" si="146">zBarKelv(D45,$T$2)</f>
        <v>1</v>
      </c>
      <c r="E113" s="20">
        <f t="shared" si="146"/>
        <v>1</v>
      </c>
      <c r="F113" s="20">
        <f t="shared" si="146"/>
        <v>1</v>
      </c>
      <c r="G113" s="20">
        <f t="shared" si="146"/>
        <v>1</v>
      </c>
      <c r="H113" s="20">
        <f t="shared" si="146"/>
        <v>1</v>
      </c>
      <c r="I113" s="20">
        <f t="shared" si="146"/>
        <v>1</v>
      </c>
      <c r="J113" s="20">
        <f t="shared" si="146"/>
        <v>1</v>
      </c>
      <c r="K113" s="20">
        <f t="shared" si="146"/>
        <v>1</v>
      </c>
      <c r="L113" s="20">
        <f t="shared" si="146"/>
        <v>1</v>
      </c>
    </row>
    <row r="114" spans="2:12" x14ac:dyDescent="0.25">
      <c r="B114">
        <v>420</v>
      </c>
      <c r="D114" s="20">
        <f t="shared" ref="D114:L114" si="147">zBarKelv(D46,$T$2)</f>
        <v>1</v>
      </c>
      <c r="E114" s="20">
        <f t="shared" si="147"/>
        <v>1</v>
      </c>
      <c r="F114" s="20">
        <f t="shared" si="147"/>
        <v>1</v>
      </c>
      <c r="G114" s="20">
        <f t="shared" si="147"/>
        <v>1</v>
      </c>
      <c r="H114" s="20">
        <f t="shared" si="147"/>
        <v>1</v>
      </c>
      <c r="I114" s="20">
        <f t="shared" si="147"/>
        <v>1</v>
      </c>
      <c r="J114" s="20">
        <f t="shared" si="147"/>
        <v>1</v>
      </c>
      <c r="K114" s="20">
        <f t="shared" si="147"/>
        <v>1</v>
      </c>
      <c r="L114" s="20">
        <f t="shared" si="147"/>
        <v>1</v>
      </c>
    </row>
    <row r="115" spans="2:12" x14ac:dyDescent="0.25">
      <c r="B115">
        <v>430</v>
      </c>
      <c r="D115" s="20">
        <f t="shared" ref="D115:L115" si="148">zBarKelv(D47,$T$2)</f>
        <v>1</v>
      </c>
      <c r="E115" s="20">
        <f t="shared" si="148"/>
        <v>1</v>
      </c>
      <c r="F115" s="20">
        <f t="shared" si="148"/>
        <v>1</v>
      </c>
      <c r="G115" s="20">
        <f t="shared" si="148"/>
        <v>1</v>
      </c>
      <c r="H115" s="20">
        <f t="shared" si="148"/>
        <v>1</v>
      </c>
      <c r="I115" s="20">
        <f t="shared" si="148"/>
        <v>1</v>
      </c>
      <c r="J115" s="20">
        <f t="shared" si="148"/>
        <v>1</v>
      </c>
      <c r="K115" s="20">
        <f t="shared" si="148"/>
        <v>1</v>
      </c>
      <c r="L115" s="20">
        <f t="shared" si="148"/>
        <v>1</v>
      </c>
    </row>
    <row r="116" spans="2:12" x14ac:dyDescent="0.25">
      <c r="B116">
        <v>440</v>
      </c>
      <c r="D116" s="20">
        <f t="shared" ref="D116:L116" si="149">zBarKelv(D48,$T$2)</f>
        <v>1</v>
      </c>
      <c r="E116" s="20">
        <f t="shared" si="149"/>
        <v>1</v>
      </c>
      <c r="F116" s="20">
        <f t="shared" si="149"/>
        <v>1</v>
      </c>
      <c r="G116" s="20">
        <f t="shared" si="149"/>
        <v>1</v>
      </c>
      <c r="H116" s="20">
        <f t="shared" si="149"/>
        <v>1</v>
      </c>
      <c r="I116" s="20">
        <f t="shared" si="149"/>
        <v>1</v>
      </c>
      <c r="J116" s="20">
        <f t="shared" si="149"/>
        <v>1</v>
      </c>
      <c r="K116" s="20">
        <f t="shared" si="149"/>
        <v>1</v>
      </c>
      <c r="L116" s="20">
        <f t="shared" si="149"/>
        <v>1</v>
      </c>
    </row>
    <row r="117" spans="2:12" x14ac:dyDescent="0.25">
      <c r="B117" s="20">
        <v>441</v>
      </c>
      <c r="D117" s="20">
        <f t="shared" ref="D117:L117" si="150">zBarKelv(D49,$T$2)</f>
        <v>1</v>
      </c>
      <c r="E117" s="20">
        <f t="shared" si="150"/>
        <v>1</v>
      </c>
      <c r="F117" s="20">
        <f t="shared" si="150"/>
        <v>1</v>
      </c>
      <c r="G117" s="20">
        <f t="shared" si="150"/>
        <v>1</v>
      </c>
      <c r="H117" s="20">
        <f t="shared" si="150"/>
        <v>1</v>
      </c>
      <c r="I117" s="20">
        <f t="shared" si="150"/>
        <v>1</v>
      </c>
      <c r="J117" s="20">
        <f t="shared" si="150"/>
        <v>1</v>
      </c>
      <c r="K117" s="20">
        <f t="shared" si="150"/>
        <v>1</v>
      </c>
      <c r="L117" s="20">
        <f t="shared" si="150"/>
        <v>1</v>
      </c>
    </row>
    <row r="118" spans="2:12" x14ac:dyDescent="0.25">
      <c r="B118" s="20">
        <v>442</v>
      </c>
      <c r="D118" s="20">
        <f t="shared" ref="D118:L118" si="151">zBarKelv(D50,$T$2)</f>
        <v>1</v>
      </c>
      <c r="E118" s="20">
        <f t="shared" si="151"/>
        <v>1</v>
      </c>
      <c r="F118" s="20">
        <f t="shared" si="151"/>
        <v>1</v>
      </c>
      <c r="G118" s="20">
        <f t="shared" si="151"/>
        <v>1</v>
      </c>
      <c r="H118" s="20">
        <f t="shared" si="151"/>
        <v>1</v>
      </c>
      <c r="I118" s="20">
        <f t="shared" si="151"/>
        <v>1</v>
      </c>
      <c r="J118" s="20">
        <f t="shared" si="151"/>
        <v>1</v>
      </c>
      <c r="K118" s="20">
        <f t="shared" si="151"/>
        <v>1</v>
      </c>
      <c r="L118" s="20">
        <f t="shared" si="151"/>
        <v>1</v>
      </c>
    </row>
    <row r="119" spans="2:12" x14ac:dyDescent="0.25">
      <c r="B119" s="20">
        <v>443</v>
      </c>
      <c r="D119" s="20">
        <f t="shared" ref="D119:L119" si="152">zBarKelv(D51,$T$2)</f>
        <v>1</v>
      </c>
      <c r="E119" s="20">
        <f t="shared" si="152"/>
        <v>1</v>
      </c>
      <c r="F119" s="20">
        <f t="shared" si="152"/>
        <v>1</v>
      </c>
      <c r="G119" s="20">
        <f t="shared" si="152"/>
        <v>1</v>
      </c>
      <c r="H119" s="20">
        <f t="shared" si="152"/>
        <v>1</v>
      </c>
      <c r="I119" s="20">
        <f t="shared" si="152"/>
        <v>1</v>
      </c>
      <c r="J119" s="20">
        <f t="shared" si="152"/>
        <v>1</v>
      </c>
      <c r="K119" s="20">
        <f t="shared" si="152"/>
        <v>1</v>
      </c>
      <c r="L119" s="20">
        <f t="shared" si="152"/>
        <v>1</v>
      </c>
    </row>
    <row r="120" spans="2:12" x14ac:dyDescent="0.25">
      <c r="B120" s="20">
        <v>444</v>
      </c>
      <c r="D120" s="20">
        <f t="shared" ref="D120:L120" si="153">zBarKelv(D52,$T$2)</f>
        <v>1</v>
      </c>
      <c r="E120" s="20">
        <f t="shared" si="153"/>
        <v>1</v>
      </c>
      <c r="F120" s="20">
        <f t="shared" si="153"/>
        <v>1</v>
      </c>
      <c r="G120" s="20">
        <f t="shared" si="153"/>
        <v>1</v>
      </c>
      <c r="H120" s="20">
        <f t="shared" si="153"/>
        <v>1</v>
      </c>
      <c r="I120" s="20">
        <f t="shared" si="153"/>
        <v>1</v>
      </c>
      <c r="J120" s="20">
        <f t="shared" si="153"/>
        <v>1</v>
      </c>
      <c r="K120" s="20" t="e">
        <f>zBarKelv(#REF!,$T$2)</f>
        <v>#VALUE!</v>
      </c>
      <c r="L120" s="20">
        <f t="shared" si="153"/>
        <v>1</v>
      </c>
    </row>
    <row r="121" spans="2:12" x14ac:dyDescent="0.25">
      <c r="B121" s="20">
        <v>445</v>
      </c>
      <c r="D121" s="20">
        <f t="shared" ref="D121:L121" si="154">zBarKelv(D53,$T$2)</f>
        <v>1</v>
      </c>
      <c r="E121" s="20">
        <f t="shared" si="154"/>
        <v>1</v>
      </c>
      <c r="F121" s="20">
        <f t="shared" si="154"/>
        <v>1</v>
      </c>
      <c r="G121" s="20">
        <f t="shared" si="154"/>
        <v>1</v>
      </c>
      <c r="H121" s="20">
        <f t="shared" si="154"/>
        <v>1</v>
      </c>
      <c r="I121" s="20">
        <f t="shared" si="154"/>
        <v>1</v>
      </c>
      <c r="J121" s="20">
        <f t="shared" si="154"/>
        <v>1</v>
      </c>
      <c r="K121" s="20" t="e">
        <f>zBarKelv(#REF!,$T$2)</f>
        <v>#VALUE!</v>
      </c>
      <c r="L121" s="20">
        <f t="shared" si="154"/>
        <v>1</v>
      </c>
    </row>
    <row r="122" spans="2:12" x14ac:dyDescent="0.25">
      <c r="B122" s="20">
        <v>446</v>
      </c>
      <c r="D122" s="20">
        <f t="shared" ref="D122:L122" si="155">zBarKelv(D54,$T$2)</f>
        <v>1</v>
      </c>
      <c r="E122" s="20">
        <f t="shared" si="155"/>
        <v>1</v>
      </c>
      <c r="F122" s="20">
        <f t="shared" si="155"/>
        <v>1</v>
      </c>
      <c r="G122" s="20">
        <f t="shared" si="155"/>
        <v>1</v>
      </c>
      <c r="H122" s="20">
        <f t="shared" si="155"/>
        <v>1</v>
      </c>
      <c r="I122" s="20">
        <f t="shared" si="155"/>
        <v>1</v>
      </c>
      <c r="J122" s="20">
        <f t="shared" si="155"/>
        <v>1</v>
      </c>
      <c r="K122" s="20" t="e">
        <f>zBarKelv(#REF!,$T$2)</f>
        <v>#VALUE!</v>
      </c>
      <c r="L122" s="20">
        <f t="shared" si="155"/>
        <v>1</v>
      </c>
    </row>
    <row r="123" spans="2:12" x14ac:dyDescent="0.25">
      <c r="B123" s="20">
        <v>447</v>
      </c>
      <c r="D123" s="20">
        <f t="shared" ref="D123:L123" si="156">zBarKelv(D55,$T$2)</f>
        <v>1</v>
      </c>
      <c r="E123" s="20">
        <f t="shared" si="156"/>
        <v>1</v>
      </c>
      <c r="F123" s="20">
        <f t="shared" si="156"/>
        <v>1</v>
      </c>
      <c r="G123" s="20">
        <f t="shared" si="156"/>
        <v>1</v>
      </c>
      <c r="H123" s="20">
        <f t="shared" si="156"/>
        <v>1</v>
      </c>
      <c r="I123" s="20">
        <f t="shared" si="156"/>
        <v>1</v>
      </c>
      <c r="J123" s="20">
        <f t="shared" si="156"/>
        <v>1</v>
      </c>
      <c r="K123" s="20" t="e">
        <f>zBarKelv(#REF!,$T$2)</f>
        <v>#VALUE!</v>
      </c>
      <c r="L123" s="20">
        <f t="shared" si="156"/>
        <v>1</v>
      </c>
    </row>
    <row r="124" spans="2:12" x14ac:dyDescent="0.25">
      <c r="B124" s="20">
        <v>448</v>
      </c>
      <c r="D124" s="20">
        <f t="shared" ref="D124:L124" si="157">zBarKelv(D56,$T$2)</f>
        <v>1</v>
      </c>
      <c r="E124" s="20">
        <f t="shared" si="157"/>
        <v>1</v>
      </c>
      <c r="F124" s="20">
        <f t="shared" si="157"/>
        <v>1</v>
      </c>
      <c r="G124" s="20">
        <f t="shared" si="157"/>
        <v>1</v>
      </c>
      <c r="H124" s="20">
        <f t="shared" si="157"/>
        <v>1</v>
      </c>
      <c r="I124" s="20">
        <f t="shared" si="157"/>
        <v>1</v>
      </c>
      <c r="J124" s="20">
        <f t="shared" si="157"/>
        <v>1</v>
      </c>
      <c r="K124" s="20" t="e">
        <f>zBarKelv(#REF!,$T$2)</f>
        <v>#VALUE!</v>
      </c>
      <c r="L124" s="20">
        <f t="shared" si="157"/>
        <v>1</v>
      </c>
    </row>
    <row r="125" spans="2:12" x14ac:dyDescent="0.25">
      <c r="B125" s="20">
        <v>449</v>
      </c>
      <c r="D125" s="20">
        <f t="shared" ref="D125:L125" si="158">zBarKelv(D57,$T$2)</f>
        <v>1</v>
      </c>
      <c r="E125" s="20">
        <f t="shared" si="158"/>
        <v>1</v>
      </c>
      <c r="F125" s="20">
        <f t="shared" si="158"/>
        <v>1</v>
      </c>
      <c r="G125" s="20">
        <f t="shared" si="158"/>
        <v>1</v>
      </c>
      <c r="H125" s="20">
        <f t="shared" si="158"/>
        <v>1</v>
      </c>
      <c r="I125" s="20">
        <f t="shared" si="158"/>
        <v>1</v>
      </c>
      <c r="J125" s="20">
        <f t="shared" si="158"/>
        <v>1</v>
      </c>
      <c r="K125" s="20" t="e">
        <f>zBarKelv(#REF!,$T$2)</f>
        <v>#VALUE!</v>
      </c>
      <c r="L125" s="20">
        <f t="shared" si="158"/>
        <v>1</v>
      </c>
    </row>
    <row r="126" spans="2:12" x14ac:dyDescent="0.25">
      <c r="B126" s="20">
        <v>450</v>
      </c>
      <c r="D126" s="20">
        <f t="shared" ref="D126:L126" si="159">zBarKelv(D58,$T$2)</f>
        <v>1</v>
      </c>
      <c r="E126" s="20">
        <f t="shared" si="159"/>
        <v>1</v>
      </c>
      <c r="F126" s="20">
        <f t="shared" si="159"/>
        <v>1</v>
      </c>
      <c r="G126" s="20">
        <f t="shared" si="159"/>
        <v>1</v>
      </c>
      <c r="H126" s="20">
        <f t="shared" si="159"/>
        <v>1</v>
      </c>
      <c r="I126" s="20">
        <f t="shared" si="159"/>
        <v>1</v>
      </c>
      <c r="J126" s="20">
        <f t="shared" si="159"/>
        <v>1</v>
      </c>
      <c r="K126" s="20" t="e">
        <f>zBarKelv(#REF!,$T$2)</f>
        <v>#VALUE!</v>
      </c>
      <c r="L126" s="20">
        <f t="shared" si="159"/>
        <v>1</v>
      </c>
    </row>
    <row r="127" spans="2:12" s="20" customFormat="1" x14ac:dyDescent="0.25">
      <c r="B127" s="20">
        <v>451</v>
      </c>
      <c r="C127" s="16"/>
      <c r="D127" s="20">
        <f t="shared" ref="D127:L127" si="160">zBarKelv(D59,$T$2)</f>
        <v>1</v>
      </c>
      <c r="E127" s="20">
        <f t="shared" si="160"/>
        <v>1</v>
      </c>
      <c r="F127" s="20">
        <f t="shared" si="160"/>
        <v>1</v>
      </c>
      <c r="G127" s="20">
        <f t="shared" si="160"/>
        <v>1</v>
      </c>
      <c r="H127" s="20">
        <f t="shared" si="160"/>
        <v>1</v>
      </c>
      <c r="I127" s="20">
        <f t="shared" si="160"/>
        <v>1</v>
      </c>
      <c r="J127" s="20">
        <f t="shared" si="160"/>
        <v>1</v>
      </c>
      <c r="K127" s="20" t="e">
        <f>zBarKelv(#REF!,$T$2)</f>
        <v>#VALUE!</v>
      </c>
      <c r="L127" s="20">
        <f t="shared" si="160"/>
        <v>1</v>
      </c>
    </row>
    <row r="128" spans="2:12" s="20" customFormat="1" x14ac:dyDescent="0.25">
      <c r="B128" s="20">
        <v>452</v>
      </c>
      <c r="C128" s="16"/>
      <c r="D128" s="20">
        <f t="shared" ref="D128:L128" si="161">zBarKelv(D60,$T$2)</f>
        <v>1</v>
      </c>
      <c r="E128" s="20">
        <f t="shared" si="161"/>
        <v>1</v>
      </c>
      <c r="F128" s="20">
        <f t="shared" si="161"/>
        <v>1</v>
      </c>
      <c r="G128" s="20">
        <f t="shared" si="161"/>
        <v>1</v>
      </c>
      <c r="H128" s="20">
        <f t="shared" si="161"/>
        <v>1</v>
      </c>
      <c r="I128" s="20">
        <f t="shared" si="161"/>
        <v>1</v>
      </c>
      <c r="J128" s="20">
        <f t="shared" si="161"/>
        <v>1</v>
      </c>
      <c r="K128" s="20" t="e">
        <f>zBarKelv(#REF!,$T$2)</f>
        <v>#VALUE!</v>
      </c>
      <c r="L128" s="20">
        <f t="shared" si="161"/>
        <v>1</v>
      </c>
    </row>
    <row r="129" spans="2:12" s="20" customFormat="1" x14ac:dyDescent="0.25">
      <c r="B129" s="20">
        <v>453</v>
      </c>
      <c r="C129" s="16"/>
      <c r="D129" s="20">
        <f t="shared" ref="D129:L129" si="162">zBarKelv(D61,$T$2)</f>
        <v>1</v>
      </c>
      <c r="E129" s="20">
        <f t="shared" si="162"/>
        <v>1</v>
      </c>
      <c r="F129" s="20">
        <f t="shared" si="162"/>
        <v>1</v>
      </c>
      <c r="G129" s="20">
        <f t="shared" si="162"/>
        <v>1</v>
      </c>
      <c r="H129" s="20">
        <f t="shared" si="162"/>
        <v>1</v>
      </c>
      <c r="I129" s="20">
        <f t="shared" si="162"/>
        <v>1</v>
      </c>
      <c r="J129" s="20">
        <f t="shared" si="162"/>
        <v>1</v>
      </c>
      <c r="K129" s="20">
        <f t="shared" si="162"/>
        <v>1</v>
      </c>
      <c r="L129" s="20">
        <f t="shared" si="162"/>
        <v>1</v>
      </c>
    </row>
    <row r="130" spans="2:12" s="20" customFormat="1" x14ac:dyDescent="0.25">
      <c r="B130" s="20">
        <v>454</v>
      </c>
      <c r="C130" s="16"/>
      <c r="D130" s="20">
        <f t="shared" ref="D130:L130" si="163">zBarKelv(D62,$T$2)</f>
        <v>1</v>
      </c>
      <c r="E130" s="20">
        <f t="shared" si="163"/>
        <v>1</v>
      </c>
      <c r="F130" s="20">
        <f t="shared" si="163"/>
        <v>1</v>
      </c>
      <c r="G130" s="20">
        <f t="shared" si="163"/>
        <v>1</v>
      </c>
      <c r="H130" s="20">
        <f t="shared" si="163"/>
        <v>1</v>
      </c>
      <c r="I130" s="20">
        <f t="shared" si="163"/>
        <v>1</v>
      </c>
      <c r="J130" s="20">
        <f t="shared" si="163"/>
        <v>1</v>
      </c>
      <c r="K130" s="20">
        <f t="shared" si="163"/>
        <v>1</v>
      </c>
      <c r="L130" s="20">
        <f t="shared" si="163"/>
        <v>1</v>
      </c>
    </row>
    <row r="131" spans="2:12" s="20" customFormat="1" x14ac:dyDescent="0.25">
      <c r="B131" s="20">
        <v>455</v>
      </c>
      <c r="C131" s="16"/>
      <c r="D131" s="20">
        <f t="shared" ref="D131:L131" si="164">zBarKelv(D63,$T$2)</f>
        <v>1</v>
      </c>
      <c r="E131" s="20">
        <f t="shared" si="164"/>
        <v>1</v>
      </c>
      <c r="F131" s="20">
        <f t="shared" si="164"/>
        <v>1</v>
      </c>
      <c r="G131" s="20">
        <f t="shared" si="164"/>
        <v>1</v>
      </c>
      <c r="H131" s="20">
        <f t="shared" si="164"/>
        <v>1</v>
      </c>
      <c r="I131" s="20">
        <f t="shared" si="164"/>
        <v>1</v>
      </c>
      <c r="J131" s="20">
        <f t="shared" si="164"/>
        <v>1</v>
      </c>
      <c r="K131" s="20">
        <f t="shared" si="164"/>
        <v>1</v>
      </c>
      <c r="L131" s="20">
        <f t="shared" si="164"/>
        <v>1</v>
      </c>
    </row>
    <row r="132" spans="2:12" s="20" customFormat="1" x14ac:dyDescent="0.25">
      <c r="B132" s="20">
        <v>456</v>
      </c>
      <c r="C132" s="16"/>
      <c r="D132" s="20">
        <f t="shared" ref="D132:L132" si="165">zBarKelv(D64,$T$2)</f>
        <v>1</v>
      </c>
      <c r="E132" s="20">
        <f t="shared" si="165"/>
        <v>1</v>
      </c>
      <c r="F132" s="20">
        <f t="shared" si="165"/>
        <v>1</v>
      </c>
      <c r="G132" s="20">
        <f t="shared" si="165"/>
        <v>1</v>
      </c>
      <c r="H132" s="20">
        <f t="shared" si="165"/>
        <v>1</v>
      </c>
      <c r="I132" s="20">
        <f t="shared" si="165"/>
        <v>1</v>
      </c>
      <c r="J132" s="20">
        <f t="shared" si="165"/>
        <v>1</v>
      </c>
      <c r="K132" s="20">
        <f t="shared" si="165"/>
        <v>1</v>
      </c>
      <c r="L132" s="20">
        <f t="shared" si="165"/>
        <v>1</v>
      </c>
    </row>
    <row r="133" spans="2:12" s="20" customFormat="1" x14ac:dyDescent="0.25">
      <c r="C133" s="16"/>
    </row>
    <row r="134" spans="2:12" s="20" customFormat="1" x14ac:dyDescent="0.25">
      <c r="C134" s="16"/>
    </row>
    <row r="135" spans="2:12" s="20" customFormat="1" x14ac:dyDescent="0.25">
      <c r="C135" s="16"/>
    </row>
    <row r="136" spans="2:12" s="20" customFormat="1" x14ac:dyDescent="0.25">
      <c r="C136" s="16"/>
    </row>
    <row r="137" spans="2:12" s="20" customFormat="1" x14ac:dyDescent="0.25">
      <c r="C137" s="16"/>
    </row>
    <row r="138" spans="2:12" s="20" customFormat="1" x14ac:dyDescent="0.25">
      <c r="C138" s="16"/>
    </row>
    <row r="139" spans="2:12" s="20" customFormat="1" x14ac:dyDescent="0.25">
      <c r="C139" s="16"/>
    </row>
    <row r="140" spans="2:12" s="20" customFormat="1" x14ac:dyDescent="0.25">
      <c r="C140" s="16"/>
    </row>
    <row r="141" spans="2:12" s="20" customFormat="1" x14ac:dyDescent="0.25">
      <c r="C141" s="16"/>
    </row>
    <row r="144" spans="2:12" x14ac:dyDescent="0.25">
      <c r="E144" s="20"/>
      <c r="F144" s="20"/>
      <c r="G144" s="20"/>
      <c r="H144" s="20"/>
    </row>
    <row r="145" spans="5:8" x14ac:dyDescent="0.25">
      <c r="E145" s="20"/>
      <c r="F145" s="20"/>
      <c r="G145" s="20"/>
      <c r="H145" s="20"/>
    </row>
    <row r="146" spans="5:8" x14ac:dyDescent="0.25">
      <c r="E146" s="20"/>
      <c r="F146" s="20"/>
      <c r="G146" s="20"/>
      <c r="H146" s="20"/>
    </row>
    <row r="147" spans="5:8" x14ac:dyDescent="0.25">
      <c r="E147" s="20"/>
      <c r="F147" s="20"/>
      <c r="G147" s="20"/>
      <c r="H147" s="20"/>
    </row>
    <row r="148" spans="5:8" x14ac:dyDescent="0.25">
      <c r="E148" s="20"/>
      <c r="F148" s="20"/>
      <c r="G148" s="20"/>
      <c r="H148" s="20"/>
    </row>
    <row r="149" spans="5:8" x14ac:dyDescent="0.25">
      <c r="E149" s="20"/>
      <c r="F149" s="20"/>
      <c r="G149" s="20"/>
      <c r="H149" s="20"/>
    </row>
    <row r="150" spans="5:8" x14ac:dyDescent="0.25">
      <c r="E150" s="20"/>
      <c r="F150" s="20"/>
      <c r="G150" s="20"/>
      <c r="H150" s="20"/>
    </row>
    <row r="151" spans="5:8" x14ac:dyDescent="0.25">
      <c r="E151" s="20"/>
      <c r="F151" s="20"/>
      <c r="G151" s="20"/>
      <c r="H151" s="20"/>
    </row>
    <row r="152" spans="5:8" x14ac:dyDescent="0.25">
      <c r="E152" s="20"/>
      <c r="F152" s="20"/>
      <c r="G152" s="20"/>
      <c r="H152" s="20"/>
    </row>
    <row r="153" spans="5:8" x14ac:dyDescent="0.25">
      <c r="E153" s="20"/>
      <c r="F153" s="20"/>
      <c r="G153" s="20"/>
      <c r="H153" s="20"/>
    </row>
    <row r="154" spans="5:8" x14ac:dyDescent="0.25">
      <c r="E154" s="20"/>
      <c r="F154" s="20"/>
      <c r="G154" s="20"/>
      <c r="H154" s="20"/>
    </row>
    <row r="155" spans="5:8" x14ac:dyDescent="0.25">
      <c r="E155" s="20"/>
      <c r="F155" s="20"/>
      <c r="G155" s="20"/>
      <c r="H155" s="20"/>
    </row>
    <row r="156" spans="5:8" x14ac:dyDescent="0.25">
      <c r="E156" s="20"/>
      <c r="F156" s="20"/>
      <c r="G156" s="20"/>
      <c r="H156" s="20"/>
    </row>
    <row r="157" spans="5:8" x14ac:dyDescent="0.25">
      <c r="E157" s="20"/>
      <c r="F157" s="20"/>
      <c r="G157" s="20"/>
      <c r="H157" s="20"/>
    </row>
    <row r="158" spans="5:8" x14ac:dyDescent="0.25">
      <c r="E158" s="20"/>
      <c r="F158" s="20"/>
      <c r="G158" s="20"/>
      <c r="H158" s="20"/>
    </row>
    <row r="159" spans="5:8" x14ac:dyDescent="0.25">
      <c r="E159" s="20"/>
      <c r="F159" s="20"/>
      <c r="G159" s="20"/>
      <c r="H159" s="20"/>
    </row>
    <row r="160" spans="5:8" x14ac:dyDescent="0.25">
      <c r="E160" s="20"/>
      <c r="F160" s="20"/>
      <c r="G160" s="20"/>
      <c r="H160" s="20"/>
    </row>
    <row r="161" spans="5:8" x14ac:dyDescent="0.25">
      <c r="E161" s="20"/>
      <c r="F161" s="20"/>
      <c r="G161" s="20"/>
      <c r="H161" s="20"/>
    </row>
    <row r="162" spans="5:8" x14ac:dyDescent="0.25">
      <c r="E162" s="20"/>
      <c r="F162" s="20"/>
      <c r="G162" s="20"/>
      <c r="H162" s="20"/>
    </row>
    <row r="163" spans="5:8" x14ac:dyDescent="0.25">
      <c r="E163" s="20"/>
      <c r="F163" s="20"/>
      <c r="G163" s="20"/>
      <c r="H163" s="20"/>
    </row>
    <row r="164" spans="5:8" x14ac:dyDescent="0.25">
      <c r="E164" s="20"/>
      <c r="F164" s="20"/>
      <c r="G164" s="20"/>
      <c r="H164" s="20"/>
    </row>
    <row r="165" spans="5:8" x14ac:dyDescent="0.25">
      <c r="E165" s="20"/>
      <c r="F165" s="20"/>
      <c r="G165" s="20"/>
      <c r="H165" s="20"/>
    </row>
    <row r="166" spans="5:8" x14ac:dyDescent="0.25">
      <c r="E166" s="20"/>
      <c r="F166" s="20"/>
      <c r="G166" s="20"/>
      <c r="H166" s="20"/>
    </row>
    <row r="167" spans="5:8" x14ac:dyDescent="0.25">
      <c r="E167" s="20"/>
      <c r="F167" s="20"/>
      <c r="G167" s="20"/>
      <c r="H167" s="20"/>
    </row>
    <row r="168" spans="5:8" x14ac:dyDescent="0.25">
      <c r="E168" s="20"/>
      <c r="F168" s="20"/>
      <c r="G168" s="20"/>
      <c r="H168" s="20"/>
    </row>
    <row r="169" spans="5:8" x14ac:dyDescent="0.25">
      <c r="E169" s="20"/>
      <c r="F169" s="20"/>
      <c r="G169" s="20"/>
      <c r="H169" s="20"/>
    </row>
    <row r="170" spans="5:8" x14ac:dyDescent="0.25">
      <c r="E170" s="20"/>
      <c r="F170" s="20"/>
      <c r="G170" s="20"/>
      <c r="H170" s="20"/>
    </row>
    <row r="171" spans="5:8" x14ac:dyDescent="0.25">
      <c r="E171" s="20"/>
      <c r="F171" s="20"/>
      <c r="G171" s="20"/>
      <c r="H171" s="20"/>
    </row>
    <row r="172" spans="5:8" x14ac:dyDescent="0.25">
      <c r="E172" s="20"/>
      <c r="F172" s="20"/>
      <c r="G172" s="20"/>
      <c r="H172" s="20"/>
    </row>
    <row r="173" spans="5:8" x14ac:dyDescent="0.25">
      <c r="E173" s="20"/>
      <c r="F173" s="20"/>
      <c r="G173" s="20"/>
      <c r="H173" s="20"/>
    </row>
    <row r="174" spans="5:8" x14ac:dyDescent="0.25">
      <c r="E174" s="20"/>
      <c r="F174" s="20"/>
      <c r="G174" s="20"/>
      <c r="H174" s="20"/>
    </row>
    <row r="175" spans="5:8" x14ac:dyDescent="0.25">
      <c r="E175" s="20"/>
      <c r="F175" s="20"/>
      <c r="G175" s="20"/>
      <c r="H175" s="20"/>
    </row>
    <row r="176" spans="5:8" x14ac:dyDescent="0.25">
      <c r="E176" s="20"/>
      <c r="F176" s="20"/>
      <c r="G176" s="20"/>
      <c r="H176" s="20"/>
    </row>
    <row r="177" spans="5:8" x14ac:dyDescent="0.25">
      <c r="E177" s="20"/>
      <c r="F177" s="20"/>
      <c r="G177" s="20"/>
      <c r="H177" s="20"/>
    </row>
    <row r="178" spans="5:8" x14ac:dyDescent="0.25">
      <c r="E178" s="20"/>
      <c r="F178" s="20"/>
      <c r="G178" s="20"/>
      <c r="H178" s="20"/>
    </row>
    <row r="179" spans="5:8" x14ac:dyDescent="0.25">
      <c r="E179" s="20"/>
      <c r="F179" s="20"/>
      <c r="G179" s="20"/>
      <c r="H179" s="20"/>
    </row>
    <row r="180" spans="5:8" x14ac:dyDescent="0.25">
      <c r="E180" s="20"/>
      <c r="F180" s="20"/>
      <c r="G180" s="20"/>
      <c r="H180" s="20"/>
    </row>
    <row r="181" spans="5:8" x14ac:dyDescent="0.25">
      <c r="E181" s="20"/>
      <c r="F181" s="20"/>
      <c r="G181" s="20"/>
      <c r="H181" s="20"/>
    </row>
    <row r="182" spans="5:8" x14ac:dyDescent="0.25">
      <c r="E182" s="20"/>
      <c r="F182" s="20"/>
      <c r="G182" s="20"/>
      <c r="H182" s="20"/>
    </row>
    <row r="183" spans="5:8" x14ac:dyDescent="0.25">
      <c r="E183" s="20"/>
      <c r="F183" s="20"/>
      <c r="G183" s="20"/>
      <c r="H183" s="20"/>
    </row>
    <row r="184" spans="5:8" x14ac:dyDescent="0.25">
      <c r="E184" s="20"/>
      <c r="F184" s="20"/>
      <c r="G184" s="20"/>
      <c r="H184" s="20"/>
    </row>
    <row r="185" spans="5:8" x14ac:dyDescent="0.25">
      <c r="E185" s="20"/>
      <c r="F185" s="20"/>
      <c r="G185" s="20"/>
      <c r="H185" s="20"/>
    </row>
  </sheetData>
  <mergeCells count="2">
    <mergeCell ref="V4:AC4"/>
    <mergeCell ref="AE4:AL4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C4:BK123"/>
  <sheetViews>
    <sheetView tabSelected="1" topLeftCell="A23" zoomScale="68" zoomScaleNormal="68" workbookViewId="0">
      <selection activeCell="K37" sqref="K37"/>
    </sheetView>
  </sheetViews>
  <sheetFormatPr defaultRowHeight="15" x14ac:dyDescent="0.25"/>
  <cols>
    <col min="1" max="13" width="9.140625" style="20"/>
    <col min="14" max="14" width="11.42578125" style="20" customWidth="1"/>
    <col min="15" max="16384" width="9.140625" style="20"/>
  </cols>
  <sheetData>
    <row r="4" spans="4:27" x14ac:dyDescent="0.25">
      <c r="G4" s="20">
        <v>2</v>
      </c>
      <c r="H4" s="20">
        <v>7.36</v>
      </c>
    </row>
    <row r="7" spans="4:27" x14ac:dyDescent="0.25">
      <c r="D7" s="20">
        <v>5</v>
      </c>
      <c r="E7" s="20">
        <f>D7*$G$4</f>
        <v>10</v>
      </c>
      <c r="F7" s="20">
        <v>4</v>
      </c>
      <c r="G7" s="20">
        <f>$H$4</f>
        <v>7.36</v>
      </c>
      <c r="H7" s="20">
        <v>1</v>
      </c>
    </row>
    <row r="8" spans="4:27" x14ac:dyDescent="0.25">
      <c r="D8" s="20">
        <v>7</v>
      </c>
      <c r="E8" s="20">
        <f t="shared" ref="E8:E27" si="0">D8*$G$4</f>
        <v>14</v>
      </c>
      <c r="F8" s="20">
        <v>4</v>
      </c>
      <c r="G8" s="20">
        <v>7.36</v>
      </c>
      <c r="H8" s="20">
        <v>2</v>
      </c>
    </row>
    <row r="9" spans="4:27" x14ac:dyDescent="0.25">
      <c r="D9" s="20">
        <v>10</v>
      </c>
      <c r="E9" s="20">
        <f t="shared" si="0"/>
        <v>20</v>
      </c>
      <c r="F9" s="20">
        <v>4</v>
      </c>
      <c r="G9" s="20">
        <v>7.36</v>
      </c>
      <c r="H9" s="20">
        <v>3</v>
      </c>
      <c r="Q9" s="20" t="s">
        <v>23</v>
      </c>
    </row>
    <row r="10" spans="4:27" x14ac:dyDescent="0.25">
      <c r="D10" s="20">
        <v>12</v>
      </c>
      <c r="E10" s="20">
        <f>D10*$G$4</f>
        <v>24</v>
      </c>
      <c r="F10" s="20">
        <v>4</v>
      </c>
      <c r="G10" s="20">
        <v>7.36</v>
      </c>
      <c r="H10" s="20">
        <v>4</v>
      </c>
      <c r="Q10" s="20" t="s">
        <v>24</v>
      </c>
      <c r="R10" s="20" t="s">
        <v>25</v>
      </c>
      <c r="S10" s="20" t="s">
        <v>26</v>
      </c>
      <c r="T10" s="20" t="s">
        <v>27</v>
      </c>
      <c r="U10" s="20" t="s">
        <v>28</v>
      </c>
      <c r="V10" s="20" t="s">
        <v>29</v>
      </c>
      <c r="W10" s="20" t="s">
        <v>30</v>
      </c>
      <c r="X10" s="20" t="s">
        <v>31</v>
      </c>
      <c r="Y10" s="20" t="s">
        <v>32</v>
      </c>
      <c r="Z10" s="20" t="s">
        <v>33</v>
      </c>
      <c r="AA10" s="20" t="s">
        <v>34</v>
      </c>
    </row>
    <row r="11" spans="4:27" x14ac:dyDescent="0.25">
      <c r="D11" s="20">
        <v>14</v>
      </c>
      <c r="E11" s="20">
        <f t="shared" si="0"/>
        <v>28</v>
      </c>
      <c r="F11" s="20">
        <v>4</v>
      </c>
      <c r="G11" s="20">
        <v>7.36</v>
      </c>
      <c r="H11" s="20">
        <v>5</v>
      </c>
      <c r="L11" s="20">
        <v>1</v>
      </c>
      <c r="M11" s="20">
        <v>25</v>
      </c>
      <c r="N11" s="20">
        <v>4</v>
      </c>
      <c r="O11" s="20">
        <v>7.36</v>
      </c>
      <c r="Q11" s="20">
        <v>5455</v>
      </c>
      <c r="R11" s="20">
        <v>14465</v>
      </c>
      <c r="S11" s="20" t="s">
        <v>35</v>
      </c>
      <c r="T11" s="20">
        <v>4.87</v>
      </c>
      <c r="U11" s="20">
        <v>7.36</v>
      </c>
      <c r="V11" s="20">
        <v>1.51</v>
      </c>
      <c r="W11" s="20">
        <v>1</v>
      </c>
      <c r="X11" s="20">
        <v>109</v>
      </c>
      <c r="Y11" s="20">
        <v>47</v>
      </c>
      <c r="Z11" s="20">
        <v>17</v>
      </c>
      <c r="AA11" s="20">
        <v>322</v>
      </c>
    </row>
    <row r="12" spans="4:27" x14ac:dyDescent="0.25">
      <c r="D12" s="20">
        <v>16</v>
      </c>
      <c r="E12" s="20">
        <f t="shared" si="0"/>
        <v>32</v>
      </c>
      <c r="F12" s="20">
        <v>4</v>
      </c>
      <c r="G12" s="20">
        <v>7.36</v>
      </c>
      <c r="H12" s="20">
        <v>6</v>
      </c>
      <c r="L12" s="20">
        <v>2</v>
      </c>
      <c r="M12" s="20">
        <v>35</v>
      </c>
      <c r="N12" s="20">
        <v>4</v>
      </c>
      <c r="O12" s="20">
        <v>7.36</v>
      </c>
      <c r="Q12" s="20">
        <v>5215</v>
      </c>
      <c r="R12" s="20">
        <v>15945</v>
      </c>
      <c r="S12" s="20" t="s">
        <v>35</v>
      </c>
      <c r="T12" s="20">
        <v>5.22</v>
      </c>
      <c r="U12" s="20">
        <v>7.36</v>
      </c>
      <c r="V12" s="20">
        <v>1.41</v>
      </c>
      <c r="W12" s="20">
        <v>1</v>
      </c>
      <c r="X12" s="20">
        <v>117</v>
      </c>
      <c r="Y12" s="20">
        <v>39</v>
      </c>
      <c r="Z12" s="20">
        <v>56</v>
      </c>
      <c r="AA12" s="20">
        <v>417</v>
      </c>
    </row>
    <row r="13" spans="4:27" x14ac:dyDescent="0.25">
      <c r="D13" s="20">
        <v>18</v>
      </c>
      <c r="E13" s="20">
        <f t="shared" si="0"/>
        <v>36</v>
      </c>
      <c r="F13" s="20">
        <v>4</v>
      </c>
      <c r="G13" s="20">
        <v>7.36</v>
      </c>
      <c r="H13" s="20">
        <v>7</v>
      </c>
      <c r="L13" s="20">
        <v>3</v>
      </c>
      <c r="M13" s="20">
        <v>50</v>
      </c>
      <c r="N13" s="20">
        <v>4</v>
      </c>
      <c r="O13" s="20">
        <v>7.36</v>
      </c>
      <c r="Q13" s="20">
        <v>5455</v>
      </c>
      <c r="R13" s="20">
        <v>14465</v>
      </c>
      <c r="S13" s="20" t="s">
        <v>35</v>
      </c>
      <c r="T13" s="20">
        <v>4.87</v>
      </c>
      <c r="U13" s="20">
        <v>7.36</v>
      </c>
      <c r="V13" s="20">
        <v>1.51</v>
      </c>
      <c r="W13" s="20">
        <v>2</v>
      </c>
      <c r="X13" s="20">
        <v>218</v>
      </c>
      <c r="Y13" s="20">
        <v>47</v>
      </c>
      <c r="Z13" s="20">
        <v>17</v>
      </c>
      <c r="AA13" s="20">
        <v>322</v>
      </c>
    </row>
    <row r="14" spans="4:27" x14ac:dyDescent="0.25">
      <c r="D14" s="20">
        <v>20</v>
      </c>
      <c r="E14" s="20">
        <f t="shared" si="0"/>
        <v>40</v>
      </c>
      <c r="F14" s="20">
        <v>4</v>
      </c>
      <c r="G14" s="20">
        <v>7.36</v>
      </c>
      <c r="H14" s="20">
        <v>8</v>
      </c>
      <c r="L14" s="20">
        <v>4</v>
      </c>
      <c r="M14" s="20">
        <v>60</v>
      </c>
      <c r="N14" s="20">
        <v>4</v>
      </c>
      <c r="O14" s="20">
        <v>7.36</v>
      </c>
      <c r="Q14" s="20">
        <v>5425</v>
      </c>
      <c r="R14" s="20">
        <v>15998</v>
      </c>
      <c r="S14" s="20" t="s">
        <v>35</v>
      </c>
      <c r="T14" s="20">
        <v>4.96</v>
      </c>
      <c r="U14" s="20">
        <v>7.36</v>
      </c>
      <c r="V14" s="20">
        <v>1.48</v>
      </c>
      <c r="W14" s="20">
        <v>2</v>
      </c>
      <c r="X14" s="20">
        <v>235</v>
      </c>
      <c r="Y14" s="20">
        <v>44</v>
      </c>
      <c r="Z14" s="20">
        <v>37</v>
      </c>
      <c r="AA14" s="20">
        <v>378</v>
      </c>
    </row>
    <row r="15" spans="4:27" x14ac:dyDescent="0.25">
      <c r="D15" s="20">
        <v>22</v>
      </c>
      <c r="E15" s="20">
        <f t="shared" si="0"/>
        <v>44</v>
      </c>
      <c r="F15" s="20">
        <v>4</v>
      </c>
      <c r="G15" s="20">
        <v>7.36</v>
      </c>
      <c r="H15" s="20">
        <v>9</v>
      </c>
      <c r="L15" s="20">
        <v>5</v>
      </c>
      <c r="M15" s="20">
        <v>70</v>
      </c>
      <c r="N15" s="20">
        <v>4</v>
      </c>
      <c r="O15" s="20">
        <v>7.36</v>
      </c>
      <c r="Q15" s="20">
        <v>5455</v>
      </c>
      <c r="R15" s="20">
        <v>13828</v>
      </c>
      <c r="S15" s="20" t="s">
        <v>35</v>
      </c>
      <c r="T15" s="20">
        <v>4.8600000000000003</v>
      </c>
      <c r="U15" s="20">
        <v>7.36</v>
      </c>
      <c r="V15" s="20">
        <v>1.51</v>
      </c>
      <c r="W15" s="20">
        <v>3</v>
      </c>
      <c r="X15" s="20">
        <v>317</v>
      </c>
      <c r="Y15" s="20">
        <v>48</v>
      </c>
      <c r="Z15" s="20">
        <v>10</v>
      </c>
      <c r="AA15" s="20">
        <v>301</v>
      </c>
    </row>
    <row r="16" spans="4:27" x14ac:dyDescent="0.25">
      <c r="D16" s="20">
        <v>24</v>
      </c>
      <c r="E16" s="20">
        <f t="shared" si="0"/>
        <v>48</v>
      </c>
      <c r="F16" s="20">
        <v>4</v>
      </c>
      <c r="G16" s="20">
        <v>7.36</v>
      </c>
      <c r="H16" s="20">
        <v>10</v>
      </c>
      <c r="L16" s="20">
        <v>6</v>
      </c>
      <c r="M16" s="20">
        <v>80</v>
      </c>
      <c r="N16" s="20">
        <v>4</v>
      </c>
      <c r="O16" s="20">
        <v>7.36</v>
      </c>
      <c r="Q16" s="20">
        <v>5455</v>
      </c>
      <c r="R16" s="20">
        <v>15071</v>
      </c>
      <c r="S16" s="20" t="s">
        <v>35</v>
      </c>
      <c r="T16" s="20">
        <v>4.8899999999999997</v>
      </c>
      <c r="U16" s="20">
        <v>7.36</v>
      </c>
      <c r="V16" s="20">
        <v>1.51</v>
      </c>
      <c r="W16" s="20">
        <v>3</v>
      </c>
      <c r="X16" s="20">
        <v>337</v>
      </c>
      <c r="Y16" s="20">
        <v>46</v>
      </c>
      <c r="Z16" s="20">
        <v>24</v>
      </c>
      <c r="AA16" s="20">
        <v>342</v>
      </c>
    </row>
    <row r="17" spans="4:48" x14ac:dyDescent="0.25">
      <c r="D17" s="20">
        <v>26</v>
      </c>
      <c r="E17" s="20">
        <f t="shared" si="0"/>
        <v>52</v>
      </c>
      <c r="F17" s="20">
        <v>4</v>
      </c>
      <c r="G17" s="20">
        <v>7.36</v>
      </c>
      <c r="H17" s="20">
        <v>11</v>
      </c>
      <c r="L17" s="20">
        <v>7</v>
      </c>
      <c r="M17" s="20">
        <v>90</v>
      </c>
      <c r="N17" s="20">
        <v>4</v>
      </c>
      <c r="O17" s="20">
        <v>7.36</v>
      </c>
      <c r="Q17" s="20">
        <v>5455</v>
      </c>
      <c r="R17" s="20">
        <v>13497</v>
      </c>
      <c r="S17" s="20" t="s">
        <v>35</v>
      </c>
      <c r="T17" s="20">
        <v>4.8600000000000003</v>
      </c>
      <c r="U17" s="20">
        <v>7.36</v>
      </c>
      <c r="V17" s="20">
        <v>1.52</v>
      </c>
      <c r="W17" s="20">
        <v>4</v>
      </c>
      <c r="X17" s="20">
        <v>415</v>
      </c>
      <c r="Y17" s="20">
        <v>49</v>
      </c>
      <c r="Z17" s="20">
        <v>6</v>
      </c>
      <c r="AA17" s="20">
        <v>290</v>
      </c>
    </row>
    <row r="18" spans="4:48" x14ac:dyDescent="0.25">
      <c r="D18" s="20">
        <v>28</v>
      </c>
      <c r="E18" s="20">
        <f t="shared" si="0"/>
        <v>56</v>
      </c>
      <c r="F18" s="20">
        <v>4</v>
      </c>
      <c r="G18" s="20">
        <v>7.36</v>
      </c>
      <c r="H18" s="20">
        <v>12</v>
      </c>
      <c r="L18" s="20">
        <v>8</v>
      </c>
      <c r="M18" s="20">
        <v>100</v>
      </c>
      <c r="N18" s="20">
        <v>4</v>
      </c>
      <c r="O18" s="20">
        <v>7.36</v>
      </c>
      <c r="Q18" s="20">
        <v>5455</v>
      </c>
      <c r="R18" s="20">
        <v>14465</v>
      </c>
      <c r="S18" s="20" t="s">
        <v>35</v>
      </c>
      <c r="T18" s="20">
        <v>4.87</v>
      </c>
      <c r="U18" s="20">
        <v>7.36</v>
      </c>
      <c r="V18" s="20">
        <v>1.51</v>
      </c>
      <c r="W18" s="20">
        <v>4</v>
      </c>
      <c r="X18" s="20">
        <v>436</v>
      </c>
      <c r="Y18" s="20">
        <v>47</v>
      </c>
      <c r="Z18" s="20">
        <v>17</v>
      </c>
      <c r="AA18" s="20">
        <v>322</v>
      </c>
    </row>
    <row r="19" spans="4:48" x14ac:dyDescent="0.25">
      <c r="D19" s="20">
        <v>30</v>
      </c>
      <c r="E19" s="20">
        <f t="shared" si="0"/>
        <v>60</v>
      </c>
      <c r="F19" s="20">
        <v>4</v>
      </c>
      <c r="G19" s="20">
        <v>7.36</v>
      </c>
      <c r="H19" s="20">
        <v>13</v>
      </c>
      <c r="L19" s="20">
        <v>9</v>
      </c>
      <c r="M19" s="20">
        <v>110</v>
      </c>
      <c r="N19" s="20">
        <v>4</v>
      </c>
      <c r="O19" s="20">
        <v>7.36</v>
      </c>
      <c r="Q19" s="20">
        <v>5455</v>
      </c>
      <c r="R19" s="20">
        <v>13294</v>
      </c>
      <c r="S19" s="20" t="s">
        <v>35</v>
      </c>
      <c r="T19" s="20">
        <v>4.8600000000000003</v>
      </c>
      <c r="U19" s="20">
        <v>7.36</v>
      </c>
      <c r="V19" s="20">
        <v>1.52</v>
      </c>
      <c r="W19" s="20">
        <v>5</v>
      </c>
      <c r="X19" s="20">
        <v>513</v>
      </c>
      <c r="Y19" s="20">
        <v>49</v>
      </c>
      <c r="Z19" s="20">
        <v>4</v>
      </c>
      <c r="AA19" s="20">
        <v>284</v>
      </c>
    </row>
    <row r="20" spans="4:48" x14ac:dyDescent="0.25">
      <c r="D20" s="20">
        <v>32</v>
      </c>
      <c r="E20" s="20">
        <f t="shared" si="0"/>
        <v>64</v>
      </c>
      <c r="F20" s="20">
        <v>4</v>
      </c>
      <c r="G20" s="20">
        <v>7.36</v>
      </c>
      <c r="H20" s="20">
        <v>14</v>
      </c>
      <c r="L20" s="20">
        <v>10</v>
      </c>
      <c r="M20" s="20">
        <v>120</v>
      </c>
      <c r="N20" s="20">
        <v>4</v>
      </c>
      <c r="O20" s="20">
        <v>7.36</v>
      </c>
      <c r="Q20" s="20">
        <v>5455</v>
      </c>
      <c r="R20" s="20">
        <v>14087</v>
      </c>
      <c r="S20" s="20" t="s">
        <v>35</v>
      </c>
      <c r="T20" s="20">
        <v>4.87</v>
      </c>
      <c r="U20" s="20">
        <v>7.36</v>
      </c>
      <c r="V20" s="20">
        <v>1.51</v>
      </c>
      <c r="W20" s="20">
        <v>5</v>
      </c>
      <c r="X20" s="20">
        <v>535</v>
      </c>
      <c r="Y20" s="20">
        <v>48</v>
      </c>
      <c r="Z20" s="20">
        <v>13</v>
      </c>
      <c r="AA20" s="20">
        <v>309</v>
      </c>
    </row>
    <row r="21" spans="4:48" x14ac:dyDescent="0.25">
      <c r="D21" s="20">
        <v>34</v>
      </c>
      <c r="E21" s="20">
        <f t="shared" si="0"/>
        <v>68</v>
      </c>
      <c r="F21" s="20">
        <v>4</v>
      </c>
      <c r="G21" s="20">
        <v>7.36</v>
      </c>
      <c r="H21" s="20">
        <v>15</v>
      </c>
      <c r="L21" s="20">
        <v>11</v>
      </c>
      <c r="M21" s="20">
        <v>130</v>
      </c>
      <c r="N21" s="20">
        <v>4</v>
      </c>
      <c r="O21" s="20">
        <v>7.36</v>
      </c>
      <c r="Q21" s="20">
        <v>5455</v>
      </c>
      <c r="R21" s="20">
        <v>14832</v>
      </c>
      <c r="S21" s="20" t="s">
        <v>35</v>
      </c>
      <c r="T21" s="20">
        <v>4.88</v>
      </c>
      <c r="U21" s="20">
        <v>7.36</v>
      </c>
      <c r="V21" s="20">
        <v>1.51</v>
      </c>
      <c r="W21" s="20">
        <v>5</v>
      </c>
      <c r="X21" s="20">
        <v>555</v>
      </c>
      <c r="Y21" s="20">
        <v>47</v>
      </c>
      <c r="Z21" s="20">
        <v>21</v>
      </c>
      <c r="AA21" s="20">
        <v>334</v>
      </c>
    </row>
    <row r="22" spans="4:48" x14ac:dyDescent="0.25">
      <c r="D22" s="20">
        <v>36</v>
      </c>
      <c r="E22" s="20">
        <f t="shared" si="0"/>
        <v>72</v>
      </c>
      <c r="F22" s="20">
        <v>4</v>
      </c>
      <c r="G22" s="20">
        <v>7.36</v>
      </c>
      <c r="H22" s="20">
        <v>16</v>
      </c>
      <c r="L22" s="20">
        <v>12</v>
      </c>
      <c r="M22" s="20">
        <v>140</v>
      </c>
      <c r="N22" s="20">
        <v>4</v>
      </c>
      <c r="O22" s="20">
        <v>7.36</v>
      </c>
      <c r="Q22" s="20">
        <v>5455</v>
      </c>
      <c r="R22" s="20">
        <v>15531</v>
      </c>
      <c r="S22" s="20" t="s">
        <v>35</v>
      </c>
      <c r="T22" s="20">
        <v>4.91</v>
      </c>
      <c r="U22" s="20">
        <v>7.36</v>
      </c>
      <c r="V22" s="20">
        <v>1.5</v>
      </c>
      <c r="W22" s="20">
        <v>5</v>
      </c>
      <c r="X22" s="20">
        <v>575</v>
      </c>
      <c r="Y22" s="20">
        <v>46</v>
      </c>
      <c r="Z22" s="20">
        <v>29</v>
      </c>
      <c r="AA22" s="20">
        <v>357</v>
      </c>
    </row>
    <row r="23" spans="4:48" x14ac:dyDescent="0.25">
      <c r="D23" s="20">
        <v>38</v>
      </c>
      <c r="E23" s="20">
        <f t="shared" si="0"/>
        <v>76</v>
      </c>
      <c r="F23" s="20">
        <v>4</v>
      </c>
      <c r="G23" s="20">
        <v>7.36</v>
      </c>
      <c r="H23" s="20">
        <v>17</v>
      </c>
      <c r="L23" s="20">
        <v>13</v>
      </c>
      <c r="M23" s="20">
        <v>150</v>
      </c>
      <c r="N23" s="20">
        <v>4</v>
      </c>
      <c r="O23" s="20">
        <v>7.36</v>
      </c>
      <c r="Q23" s="20">
        <v>5425</v>
      </c>
      <c r="R23" s="20">
        <v>15998</v>
      </c>
      <c r="S23" s="20" t="s">
        <v>35</v>
      </c>
      <c r="T23" s="20">
        <v>4.96</v>
      </c>
      <c r="U23" s="20">
        <v>7.36</v>
      </c>
      <c r="V23" s="20">
        <v>1.48</v>
      </c>
      <c r="W23" s="20">
        <v>5</v>
      </c>
      <c r="X23" s="20">
        <v>588</v>
      </c>
      <c r="Y23" s="20">
        <v>44</v>
      </c>
      <c r="Z23" s="20">
        <v>37</v>
      </c>
      <c r="AA23" s="20">
        <v>378</v>
      </c>
    </row>
    <row r="24" spans="4:48" x14ac:dyDescent="0.25">
      <c r="D24" s="20">
        <v>40</v>
      </c>
      <c r="E24" s="20">
        <f t="shared" si="0"/>
        <v>80</v>
      </c>
      <c r="F24" s="20">
        <v>4</v>
      </c>
      <c r="G24" s="20">
        <v>7.36</v>
      </c>
      <c r="H24" s="20">
        <v>18</v>
      </c>
      <c r="L24" s="20">
        <v>14</v>
      </c>
      <c r="M24" s="20">
        <v>160</v>
      </c>
      <c r="N24" s="20">
        <v>4</v>
      </c>
      <c r="O24" s="20">
        <v>7.36</v>
      </c>
      <c r="Q24" s="20">
        <v>5320</v>
      </c>
      <c r="R24" s="20">
        <v>15918</v>
      </c>
      <c r="S24" s="20" t="s">
        <v>35</v>
      </c>
      <c r="T24" s="20">
        <v>5.08</v>
      </c>
      <c r="U24" s="20">
        <v>7.36</v>
      </c>
      <c r="V24" s="20">
        <v>1.45</v>
      </c>
      <c r="W24" s="20">
        <v>5</v>
      </c>
      <c r="X24" s="20">
        <v>585</v>
      </c>
      <c r="Y24" s="20">
        <v>42</v>
      </c>
      <c r="Z24" s="20">
        <v>45</v>
      </c>
      <c r="AA24" s="20">
        <v>393</v>
      </c>
    </row>
    <row r="25" spans="4:48" x14ac:dyDescent="0.25">
      <c r="D25" s="20">
        <v>50</v>
      </c>
      <c r="E25" s="20">
        <f t="shared" si="0"/>
        <v>100</v>
      </c>
      <c r="F25" s="20">
        <v>4</v>
      </c>
      <c r="G25" s="20">
        <v>7.36</v>
      </c>
      <c r="H25" s="20">
        <v>18</v>
      </c>
      <c r="L25" s="20">
        <v>15</v>
      </c>
      <c r="M25" s="20">
        <v>170</v>
      </c>
      <c r="N25" s="20">
        <v>4</v>
      </c>
      <c r="O25" s="20">
        <v>7.36</v>
      </c>
      <c r="Q25" s="20">
        <v>5245</v>
      </c>
      <c r="R25" s="20">
        <v>15928</v>
      </c>
      <c r="S25" s="20" t="s">
        <v>35</v>
      </c>
      <c r="T25" s="20">
        <v>5.18</v>
      </c>
      <c r="U25" s="20">
        <v>7.36</v>
      </c>
      <c r="V25" s="20">
        <v>1.42</v>
      </c>
      <c r="W25" s="20">
        <v>5</v>
      </c>
      <c r="X25" s="20">
        <v>586</v>
      </c>
      <c r="Y25" s="20">
        <v>40</v>
      </c>
      <c r="Z25" s="20">
        <v>53</v>
      </c>
      <c r="AA25" s="20">
        <v>409</v>
      </c>
    </row>
    <row r="26" spans="4:48" x14ac:dyDescent="0.25">
      <c r="D26" s="20">
        <v>60</v>
      </c>
      <c r="E26" s="20">
        <f t="shared" si="0"/>
        <v>120</v>
      </c>
      <c r="F26" s="20">
        <v>4</v>
      </c>
      <c r="G26" s="20">
        <v>7.36</v>
      </c>
      <c r="H26" s="20">
        <v>18</v>
      </c>
      <c r="L26" s="20">
        <v>16</v>
      </c>
      <c r="M26" s="20">
        <v>180</v>
      </c>
      <c r="N26" s="20">
        <v>4</v>
      </c>
      <c r="O26" s="20">
        <v>7.36</v>
      </c>
      <c r="Q26" s="20">
        <v>5185</v>
      </c>
      <c r="R26" s="20">
        <v>15935</v>
      </c>
      <c r="S26" s="20" t="s">
        <v>35</v>
      </c>
      <c r="T26" s="20">
        <v>5.27</v>
      </c>
      <c r="U26" s="20">
        <v>7.36</v>
      </c>
      <c r="W26" s="20">
        <v>5</v>
      </c>
      <c r="X26" s="20">
        <v>586</v>
      </c>
      <c r="Y26" s="20">
        <v>39</v>
      </c>
      <c r="Z26" s="20">
        <v>60</v>
      </c>
      <c r="AA26" s="20">
        <v>424</v>
      </c>
    </row>
    <row r="27" spans="4:48" x14ac:dyDescent="0.25">
      <c r="D27" s="20">
        <v>75</v>
      </c>
      <c r="E27" s="20">
        <f t="shared" si="0"/>
        <v>150</v>
      </c>
      <c r="F27" s="20">
        <v>4</v>
      </c>
      <c r="G27" s="20">
        <v>7.36</v>
      </c>
      <c r="H27" s="20">
        <v>18</v>
      </c>
      <c r="L27" s="20">
        <v>17</v>
      </c>
      <c r="M27" s="20">
        <v>190</v>
      </c>
      <c r="N27" s="20">
        <v>4</v>
      </c>
      <c r="O27" s="20">
        <v>7.36</v>
      </c>
      <c r="Q27" s="20">
        <v>5140</v>
      </c>
      <c r="R27" s="20">
        <v>15946</v>
      </c>
      <c r="S27" s="20" t="s">
        <v>35</v>
      </c>
      <c r="T27" s="20">
        <v>5.37</v>
      </c>
      <c r="U27" s="20">
        <v>7.36</v>
      </c>
      <c r="V27" s="20">
        <v>1.37</v>
      </c>
      <c r="W27" s="20">
        <v>5</v>
      </c>
      <c r="X27" s="20">
        <v>586</v>
      </c>
      <c r="Y27" s="20">
        <v>37</v>
      </c>
      <c r="Z27" s="20">
        <v>67</v>
      </c>
      <c r="AA27" s="20">
        <v>439</v>
      </c>
    </row>
    <row r="28" spans="4:48" x14ac:dyDescent="0.25">
      <c r="L28" s="20">
        <v>18</v>
      </c>
      <c r="M28" s="20">
        <v>200</v>
      </c>
      <c r="N28" s="20">
        <v>4</v>
      </c>
      <c r="O28" s="20">
        <v>7.36</v>
      </c>
      <c r="Q28" s="20">
        <v>5110</v>
      </c>
      <c r="R28" s="20">
        <v>15954</v>
      </c>
      <c r="S28" s="20" t="s">
        <v>35</v>
      </c>
      <c r="T28" s="20">
        <v>5.46</v>
      </c>
      <c r="U28" s="20">
        <v>7.36</v>
      </c>
      <c r="V28" s="20">
        <v>1.35</v>
      </c>
      <c r="W28" s="20">
        <v>5</v>
      </c>
      <c r="X28" s="20">
        <v>586</v>
      </c>
      <c r="Y28" s="20">
        <v>36</v>
      </c>
      <c r="Z28" s="20">
        <v>73</v>
      </c>
      <c r="AA28" s="20">
        <v>453</v>
      </c>
      <c r="AU28" s="20">
        <v>62.070741499999997</v>
      </c>
      <c r="AV28" s="20">
        <v>4.2533448160000003</v>
      </c>
    </row>
    <row r="29" spans="4:48" x14ac:dyDescent="0.25">
      <c r="AU29" s="20">
        <v>66.247398950000004</v>
      </c>
      <c r="AV29" s="20">
        <v>3.887755243</v>
      </c>
    </row>
    <row r="30" spans="4:48" x14ac:dyDescent="0.25">
      <c r="AU30" s="20">
        <v>68.479214900000002</v>
      </c>
      <c r="AV30" s="20">
        <v>3.722864113</v>
      </c>
    </row>
    <row r="31" spans="4:48" x14ac:dyDescent="0.25">
      <c r="AU31" s="20">
        <v>67.517223880000003</v>
      </c>
      <c r="AV31" s="20">
        <v>3.622332884</v>
      </c>
    </row>
    <row r="32" spans="4:48" x14ac:dyDescent="0.25">
      <c r="K32" s="20">
        <f>7.36/1.7</f>
        <v>4.329411764705883</v>
      </c>
      <c r="AU32" s="20">
        <f>[2]дкс9расчет!C32</f>
        <v>66.022692289999995</v>
      </c>
      <c r="AV32" s="20">
        <f>[2]дкс9расчет!D32</f>
        <v>3.0286606279999999</v>
      </c>
    </row>
    <row r="33" spans="3:50" s="29" customFormat="1" ht="63" customHeight="1" x14ac:dyDescent="0.25">
      <c r="D33" s="29" t="s">
        <v>36</v>
      </c>
      <c r="K33" s="29" t="s">
        <v>37</v>
      </c>
      <c r="L33" s="29" t="s">
        <v>38</v>
      </c>
      <c r="M33" s="29" t="s">
        <v>39</v>
      </c>
      <c r="N33" s="29" t="s">
        <v>40</v>
      </c>
      <c r="O33" s="29" t="s">
        <v>41</v>
      </c>
      <c r="AU33" s="20">
        <f>[2]дкс9расчет!C35</f>
        <v>65.187973029999995</v>
      </c>
      <c r="AV33" s="20">
        <f>[2]дкс9расчет!D35</f>
        <v>2.929946202</v>
      </c>
    </row>
    <row r="34" spans="3:50" x14ac:dyDescent="0.25">
      <c r="C34" s="14">
        <v>5</v>
      </c>
      <c r="D34" s="20">
        <f>E34*$F$34</f>
        <v>4.0523791243301389E-2</v>
      </c>
      <c r="E34" s="20">
        <v>0.40523791243301388</v>
      </c>
      <c r="F34" s="20">
        <v>0.1</v>
      </c>
      <c r="J34" s="20">
        <f>O77</f>
        <v>10</v>
      </c>
      <c r="K34" s="20">
        <f>K35</f>
        <v>4.05</v>
      </c>
      <c r="L34" s="20">
        <f>AG77</f>
        <v>3.05</v>
      </c>
      <c r="N34" s="20">
        <f>BD77</f>
        <v>2.91</v>
      </c>
      <c r="AU34" s="20">
        <f>[2]дкс9расчет!C36</f>
        <v>64.561467730000004</v>
      </c>
      <c r="AV34" s="20">
        <f>[2]дкс9расчет!D36</f>
        <v>2.8915813990000001</v>
      </c>
    </row>
    <row r="35" spans="3:50" x14ac:dyDescent="0.25">
      <c r="C35" s="14">
        <v>8</v>
      </c>
      <c r="D35" s="20">
        <f t="shared" ref="D35:D64" si="1">E35*$F$34</f>
        <v>0.14894579234686664</v>
      </c>
      <c r="E35" s="20">
        <v>1.4894579234686662</v>
      </c>
      <c r="J35" s="20">
        <f t="shared" ref="J35:J54" si="2">O78</f>
        <v>14</v>
      </c>
      <c r="K35" s="20">
        <f>V78</f>
        <v>4.05</v>
      </c>
      <c r="L35" s="20">
        <f t="shared" ref="L35:L50" si="3">AG78</f>
        <v>3.69</v>
      </c>
      <c r="N35" s="20">
        <f t="shared" ref="N35:N45" si="4">BD78</f>
        <v>2.12</v>
      </c>
      <c r="O35" s="20">
        <f t="shared" ref="O35:O39" si="5">LEFT(V117,FIND("+",V117)-1)*1</f>
        <v>0.97</v>
      </c>
      <c r="AU35" s="20">
        <f>[2]дкс9расчет!C39</f>
        <v>61.903673650000002</v>
      </c>
      <c r="AV35" s="20">
        <f>[2]дкс9расчет!D39</f>
        <v>2.7269211530000002</v>
      </c>
    </row>
    <row r="36" spans="3:50" x14ac:dyDescent="0.25">
      <c r="C36" s="14">
        <v>11</v>
      </c>
      <c r="D36" s="20">
        <f t="shared" si="1"/>
        <v>0.31644394867978365</v>
      </c>
      <c r="E36" s="20">
        <v>3.1644394867978365</v>
      </c>
      <c r="J36" s="20">
        <f t="shared" si="2"/>
        <v>20</v>
      </c>
      <c r="K36" s="20">
        <f>V79</f>
        <v>4.29</v>
      </c>
      <c r="L36" s="20">
        <f t="shared" si="3"/>
        <v>3.05</v>
      </c>
      <c r="M36" s="20">
        <f>AS79</f>
        <v>5.58</v>
      </c>
      <c r="N36" s="20">
        <f t="shared" si="4"/>
        <v>2.11</v>
      </c>
      <c r="O36" s="20">
        <f t="shared" si="5"/>
        <v>1.1599999999999999</v>
      </c>
      <c r="AU36" s="20">
        <f>[2]дкс9расчет!C40</f>
        <v>59.739733559999998</v>
      </c>
      <c r="AV36" s="20">
        <f>[2]дкс9расчет!D40</f>
        <v>2.64311213</v>
      </c>
    </row>
    <row r="37" spans="3:50" x14ac:dyDescent="0.25">
      <c r="C37" s="14">
        <v>14</v>
      </c>
      <c r="D37" s="20">
        <f t="shared" si="1"/>
        <v>0.52030746446229514</v>
      </c>
      <c r="E37" s="20">
        <v>5.2030746446229514</v>
      </c>
      <c r="J37" s="20">
        <f t="shared" si="2"/>
        <v>24</v>
      </c>
      <c r="K37" s="20">
        <f>K38</f>
        <v>4.05</v>
      </c>
      <c r="L37" s="20">
        <f t="shared" si="3"/>
        <v>3.3</v>
      </c>
      <c r="M37" s="20">
        <f t="shared" ref="M36:M54" si="6">AS80</f>
        <v>4.87</v>
      </c>
      <c r="N37" s="20">
        <f t="shared" si="4"/>
        <v>2.11</v>
      </c>
      <c r="O37" s="20">
        <f t="shared" si="5"/>
        <v>1.35</v>
      </c>
      <c r="AI37" s="20">
        <v>10</v>
      </c>
      <c r="AJ37" s="20">
        <v>1.4</v>
      </c>
      <c r="AU37" s="20">
        <f>[2]дкс9расчет!C43</f>
        <v>56.547313940000002</v>
      </c>
      <c r="AV37" s="20">
        <f>[2]дкс9расчет!D43</f>
        <v>2.4758264429999999</v>
      </c>
    </row>
    <row r="38" spans="3:50" x14ac:dyDescent="0.25">
      <c r="C38" s="14">
        <v>17</v>
      </c>
      <c r="D38" s="20">
        <f t="shared" si="1"/>
        <v>0.74176624186346052</v>
      </c>
      <c r="E38" s="20">
        <v>7.4176624186346052</v>
      </c>
      <c r="J38" s="20">
        <f t="shared" si="2"/>
        <v>28</v>
      </c>
      <c r="K38" s="20">
        <f t="shared" ref="K38:K52" si="7">V81</f>
        <v>4.05</v>
      </c>
      <c r="L38" s="20">
        <f t="shared" si="3"/>
        <v>3.03</v>
      </c>
      <c r="M38" s="20">
        <f t="shared" si="6"/>
        <v>4.91</v>
      </c>
      <c r="N38" s="20">
        <f t="shared" si="4"/>
        <v>2.11</v>
      </c>
      <c r="O38" s="20">
        <f t="shared" si="5"/>
        <v>1.57</v>
      </c>
      <c r="AJ38" s="20">
        <v>8</v>
      </c>
      <c r="AU38" s="20">
        <f>[2]дкс9расчет!C44</f>
        <v>55.145408889999999</v>
      </c>
      <c r="AV38" s="20">
        <f>[2]дкс9расчет!D44</f>
        <v>2.3992645540000002</v>
      </c>
    </row>
    <row r="39" spans="3:50" x14ac:dyDescent="0.25">
      <c r="C39" s="14">
        <v>20</v>
      </c>
      <c r="D39" s="20">
        <f t="shared" si="1"/>
        <v>0.96834494750729072</v>
      </c>
      <c r="E39" s="20">
        <v>9.6834494750729068</v>
      </c>
      <c r="J39" s="20">
        <f t="shared" si="2"/>
        <v>32</v>
      </c>
      <c r="K39" s="20">
        <f t="shared" si="7"/>
        <v>4.08</v>
      </c>
      <c r="L39" s="20">
        <f t="shared" si="3"/>
        <v>3.07</v>
      </c>
      <c r="M39" s="20">
        <f t="shared" si="6"/>
        <v>5.08</v>
      </c>
      <c r="N39" s="20">
        <f t="shared" si="4"/>
        <v>2.11</v>
      </c>
      <c r="O39" s="20">
        <f t="shared" si="5"/>
        <v>1.87</v>
      </c>
      <c r="AJ39" s="20" t="str">
        <f>AP39&amp;" ГПА 16МВт"</f>
        <v>5 ГПА 16МВт</v>
      </c>
      <c r="AK39" s="20" t="str">
        <f t="shared" ref="AK39:AM39" si="8">AQ39&amp;" ГПА 16МВт"</f>
        <v>4 ГПА 16МВт</v>
      </c>
      <c r="AL39" s="20" t="str">
        <f t="shared" si="8"/>
        <v>3 ГПА 16МВт</v>
      </c>
      <c r="AM39" s="20" t="str">
        <f t="shared" si="8"/>
        <v>2 ГПА 16МВт</v>
      </c>
      <c r="AP39" s="20">
        <v>5</v>
      </c>
      <c r="AQ39" s="20">
        <v>4</v>
      </c>
      <c r="AR39" s="20">
        <v>3</v>
      </c>
      <c r="AS39" s="20">
        <v>2</v>
      </c>
      <c r="AU39" s="20">
        <f>[2]дкс9расчет!C47</f>
        <v>51.929436410000001</v>
      </c>
      <c r="AV39" s="20">
        <f>[2]дкс9расчет!D47</f>
        <v>2.2286626030000001</v>
      </c>
    </row>
    <row r="40" spans="3:50" x14ac:dyDescent="0.25">
      <c r="C40" s="14">
        <v>23</v>
      </c>
      <c r="D40" s="20">
        <f t="shared" si="1"/>
        <v>1.1924893459485679</v>
      </c>
      <c r="E40" s="20">
        <v>11.924893459485679</v>
      </c>
      <c r="J40" s="20">
        <f t="shared" si="2"/>
        <v>36</v>
      </c>
      <c r="K40" s="20">
        <f t="shared" si="7"/>
        <v>4.13</v>
      </c>
      <c r="L40" s="20">
        <f t="shared" si="3"/>
        <v>3.02</v>
      </c>
      <c r="M40" s="20">
        <f t="shared" si="6"/>
        <v>5.27</v>
      </c>
      <c r="N40" s="20">
        <f t="shared" si="4"/>
        <v>2.14</v>
      </c>
      <c r="AI40" s="20">
        <v>5</v>
      </c>
      <c r="AJ40" s="20">
        <f>AP40/$AI$37/$AJ$37</f>
        <v>2.8683509189321034E-2</v>
      </c>
      <c r="AK40" s="20">
        <f t="shared" ref="AK40:AM55" si="9">AQ40/$AI$37/$AJ$37</f>
        <v>5.5023728874372929E-2</v>
      </c>
      <c r="AL40" s="20">
        <f t="shared" si="9"/>
        <v>0.11889774657585278</v>
      </c>
      <c r="AM40" s="20">
        <f t="shared" si="9"/>
        <v>0.30529877335640587</v>
      </c>
      <c r="AP40" s="20">
        <v>0.40156912865049443</v>
      </c>
      <c r="AQ40" s="20">
        <v>0.77033220424122095</v>
      </c>
      <c r="AR40" s="20">
        <v>1.6645684520619388</v>
      </c>
      <c r="AS40" s="20">
        <v>4.2741828269896818</v>
      </c>
      <c r="AU40" s="20">
        <f>[2]дкс9расчет!C48</f>
        <v>50.695774620000002</v>
      </c>
      <c r="AV40" s="20">
        <f>[2]дкс9расчет!D48</f>
        <v>2.1594394509999999</v>
      </c>
    </row>
    <row r="41" spans="3:50" x14ac:dyDescent="0.25">
      <c r="C41" s="14">
        <v>26</v>
      </c>
      <c r="D41" s="20">
        <f t="shared" si="1"/>
        <v>1.4099017540717129</v>
      </c>
      <c r="E41" s="20">
        <v>14.099017540717128</v>
      </c>
      <c r="J41" s="20">
        <f t="shared" si="2"/>
        <v>40</v>
      </c>
      <c r="K41" s="20">
        <f t="shared" si="7"/>
        <v>4.29</v>
      </c>
      <c r="L41" s="20">
        <f t="shared" si="3"/>
        <v>3.05</v>
      </c>
      <c r="M41" s="20">
        <f t="shared" si="6"/>
        <v>5.46</v>
      </c>
      <c r="N41" s="20">
        <f t="shared" si="4"/>
        <v>2.37</v>
      </c>
      <c r="AI41" s="20">
        <v>8</v>
      </c>
      <c r="AJ41" s="20">
        <f t="shared" ref="AJ41:AJ70" si="10">AP41/$AI$37/$AJ$37</f>
        <v>0.10687582772677404</v>
      </c>
      <c r="AK41" s="20">
        <f t="shared" si="9"/>
        <v>0.18486082876777415</v>
      </c>
      <c r="AL41" s="20">
        <f t="shared" si="9"/>
        <v>0.34656651954211581</v>
      </c>
      <c r="AM41" s="20">
        <f t="shared" si="9"/>
        <v>0.72319409233507248</v>
      </c>
      <c r="AP41" s="20">
        <v>1.4962615881748365</v>
      </c>
      <c r="AQ41" s="20">
        <v>2.5880516027488381</v>
      </c>
      <c r="AR41" s="20">
        <v>4.8519312735896216</v>
      </c>
      <c r="AS41" s="20">
        <v>10.124717292691015</v>
      </c>
      <c r="AU41" s="20">
        <f>[2]дкс9расчет!C51</f>
        <v>47.400323219999997</v>
      </c>
      <c r="AV41" s="20">
        <f>[2]дкс9расчет!D51</f>
        <v>2.0285393190000001</v>
      </c>
      <c r="AX41" s="20" t="s">
        <v>133</v>
      </c>
    </row>
    <row r="42" spans="3:50" x14ac:dyDescent="0.25">
      <c r="C42" s="14">
        <v>29</v>
      </c>
      <c r="D42" s="20">
        <f t="shared" si="1"/>
        <v>1.6183124807236446</v>
      </c>
      <c r="E42" s="20">
        <v>16.183124807236446</v>
      </c>
      <c r="J42" s="20">
        <f t="shared" si="2"/>
        <v>44</v>
      </c>
      <c r="K42" s="20">
        <f t="shared" si="7"/>
        <v>4.05</v>
      </c>
      <c r="L42" s="20">
        <f t="shared" si="3"/>
        <v>3.02</v>
      </c>
      <c r="M42" s="20">
        <f t="shared" si="6"/>
        <v>4.8600000000000003</v>
      </c>
      <c r="N42" s="20">
        <f t="shared" si="4"/>
        <v>2.6</v>
      </c>
      <c r="AI42" s="20">
        <v>11</v>
      </c>
      <c r="AJ42" s="20">
        <f t="shared" si="10"/>
        <v>0.22934866388403341</v>
      </c>
      <c r="AK42" s="20">
        <f t="shared" si="9"/>
        <v>0.36744419459393862</v>
      </c>
      <c r="AL42" s="20">
        <f t="shared" si="9"/>
        <v>0.62356259418231696</v>
      </c>
      <c r="AM42" s="20">
        <f t="shared" si="9"/>
        <v>1.1388816036102059</v>
      </c>
      <c r="AP42" s="20">
        <v>3.2108812943764677</v>
      </c>
      <c r="AQ42" s="20">
        <v>5.1442187243151407</v>
      </c>
      <c r="AR42" s="20">
        <v>8.7298763185524368</v>
      </c>
      <c r="AS42" s="20">
        <v>15.94434245054288</v>
      </c>
      <c r="AU42" s="20">
        <f>[2]дкс9расчет!C52</f>
        <v>45.885338699999998</v>
      </c>
      <c r="AV42" s="20">
        <f>[2]дкс9расчет!D52</f>
        <v>1.979983845</v>
      </c>
    </row>
    <row r="43" spans="3:50" x14ac:dyDescent="0.25">
      <c r="C43" s="14">
        <v>32</v>
      </c>
      <c r="D43" s="20">
        <f t="shared" si="1"/>
        <v>1.8166809251129619</v>
      </c>
      <c r="E43" s="20">
        <v>18.166809251129617</v>
      </c>
      <c r="J43" s="20">
        <f t="shared" si="2"/>
        <v>48</v>
      </c>
      <c r="K43" s="20">
        <f t="shared" si="7"/>
        <v>4.08</v>
      </c>
      <c r="L43" s="20">
        <f t="shared" si="3"/>
        <v>3.04</v>
      </c>
      <c r="M43" s="20">
        <f t="shared" si="6"/>
        <v>4.87</v>
      </c>
      <c r="N43" s="20">
        <f t="shared" si="4"/>
        <v>2.81</v>
      </c>
      <c r="AI43" s="20">
        <v>14</v>
      </c>
      <c r="AJ43" s="20">
        <f t="shared" si="10"/>
        <v>0.37995801972392262</v>
      </c>
      <c r="AK43" s="20">
        <f t="shared" si="9"/>
        <v>0.57421847849706886</v>
      </c>
      <c r="AL43" s="20">
        <f t="shared" si="9"/>
        <v>0.90638373335898215</v>
      </c>
      <c r="AM43" s="20">
        <f t="shared" si="9"/>
        <v>1.5115423076734369</v>
      </c>
      <c r="AP43" s="20">
        <v>5.3194122761349156</v>
      </c>
      <c r="AQ43" s="20">
        <v>8.0390586989589625</v>
      </c>
      <c r="AR43" s="20">
        <v>12.68937226702575</v>
      </c>
      <c r="AS43" s="20">
        <v>21.161592307428116</v>
      </c>
      <c r="AU43" s="20">
        <f>[2]дкс9расчет!C55</f>
        <v>42.8213279</v>
      </c>
      <c r="AV43" s="20">
        <f>[2]дкс9расчет!D55</f>
        <v>1.893917214</v>
      </c>
    </row>
    <row r="44" spans="3:50" x14ac:dyDescent="0.25">
      <c r="C44" s="14">
        <v>35</v>
      </c>
      <c r="D44" s="20">
        <f t="shared" si="1"/>
        <v>2.0046982401602818</v>
      </c>
      <c r="E44" s="20">
        <v>20.046982401602818</v>
      </c>
      <c r="J44" s="20">
        <f t="shared" si="2"/>
        <v>52</v>
      </c>
      <c r="K44" s="20">
        <f t="shared" si="7"/>
        <v>4.1100000000000003</v>
      </c>
      <c r="L44" s="20">
        <f t="shared" si="3"/>
        <v>3.06</v>
      </c>
      <c r="M44" s="20">
        <f t="shared" si="6"/>
        <v>4.88</v>
      </c>
      <c r="N44" s="20">
        <f t="shared" si="4"/>
        <v>3.02</v>
      </c>
      <c r="AI44" s="20">
        <v>17</v>
      </c>
      <c r="AJ44" s="20">
        <f t="shared" si="10"/>
        <v>0.54485056549479161</v>
      </c>
      <c r="AK44" s="20">
        <f t="shared" si="9"/>
        <v>0.78681896159033404</v>
      </c>
      <c r="AL44" s="20">
        <f t="shared" si="9"/>
        <v>1.176194811583622</v>
      </c>
      <c r="AM44" s="20">
        <f t="shared" si="9"/>
        <v>1.8369212761253959</v>
      </c>
      <c r="AP44" s="20">
        <v>7.6279079169270814</v>
      </c>
      <c r="AQ44" s="20">
        <v>11.015465462264675</v>
      </c>
      <c r="AR44" s="20">
        <v>16.466727362170708</v>
      </c>
      <c r="AS44" s="20">
        <v>25.716897865755541</v>
      </c>
      <c r="AU44" s="20">
        <f>[2]дкс9расчет!C56</f>
        <v>41.452716520000003</v>
      </c>
      <c r="AV44" s="20">
        <f>[2]дкс9расчет!D56</f>
        <v>1.8641902690000001</v>
      </c>
    </row>
    <row r="45" spans="3:50" x14ac:dyDescent="0.25">
      <c r="C45" s="14">
        <v>38</v>
      </c>
      <c r="D45" s="20">
        <f t="shared" si="1"/>
        <v>2.1824823303269643</v>
      </c>
      <c r="E45" s="20">
        <v>21.824823303269643</v>
      </c>
      <c r="J45" s="20">
        <f t="shared" si="2"/>
        <v>56</v>
      </c>
      <c r="K45" s="20">
        <f t="shared" si="7"/>
        <v>4.05</v>
      </c>
      <c r="L45" s="20">
        <f t="shared" si="3"/>
        <v>3.12</v>
      </c>
      <c r="M45" s="20">
        <f t="shared" si="6"/>
        <v>4.91</v>
      </c>
      <c r="N45" s="20">
        <f t="shared" si="4"/>
        <v>3.36</v>
      </c>
      <c r="AI45" s="20">
        <v>20</v>
      </c>
      <c r="AJ45" s="20">
        <f t="shared" si="10"/>
        <v>0.71458576247614625</v>
      </c>
      <c r="AK45" s="20">
        <f t="shared" si="9"/>
        <v>0.99527523715612265</v>
      </c>
      <c r="AL45" s="20">
        <f t="shared" si="9"/>
        <v>1.4263413114219208</v>
      </c>
      <c r="AM45" s="20">
        <f t="shared" si="9"/>
        <v>2.1197371740082258</v>
      </c>
      <c r="AP45" s="20">
        <v>10.004200674666047</v>
      </c>
      <c r="AQ45" s="20">
        <v>13.933853320185715</v>
      </c>
      <c r="AR45" s="20">
        <v>19.968778359906889</v>
      </c>
      <c r="AS45" s="20">
        <v>29.676320436115159</v>
      </c>
      <c r="AU45" s="20">
        <f>[2]дкс9расчет!C59</f>
        <v>38.53090624</v>
      </c>
      <c r="AV45" s="20">
        <f>[2]дкс9расчет!D59</f>
        <v>1.82462064</v>
      </c>
    </row>
    <row r="46" spans="3:50" x14ac:dyDescent="0.25">
      <c r="C46" s="14">
        <v>41</v>
      </c>
      <c r="D46" s="20">
        <f t="shared" si="1"/>
        <v>2.350391642408713</v>
      </c>
      <c r="E46" s="20">
        <v>23.50391642408713</v>
      </c>
      <c r="J46" s="20">
        <f t="shared" si="2"/>
        <v>60</v>
      </c>
      <c r="K46" s="20">
        <f t="shared" si="7"/>
        <v>4.0599999999999996</v>
      </c>
      <c r="L46" s="20">
        <f t="shared" si="3"/>
        <v>3.3</v>
      </c>
      <c r="M46" s="20">
        <f t="shared" si="6"/>
        <v>4.96</v>
      </c>
      <c r="AI46" s="20">
        <v>23</v>
      </c>
      <c r="AJ46" s="20">
        <f t="shared" si="10"/>
        <v>0.88332134797541739</v>
      </c>
      <c r="AK46" s="20">
        <f t="shared" si="9"/>
        <v>1.1946814521825895</v>
      </c>
      <c r="AL46" s="20">
        <f t="shared" si="9"/>
        <v>1.6554663532502276</v>
      </c>
      <c r="AM46" s="20">
        <f t="shared" si="9"/>
        <v>2.3662773752734889</v>
      </c>
      <c r="AP46" s="20">
        <v>12.366498871655843</v>
      </c>
      <c r="AQ46" s="20">
        <v>16.725540330556253</v>
      </c>
      <c r="AR46" s="20">
        <v>23.176528945503186</v>
      </c>
      <c r="AS46" s="20">
        <v>33.127883253828841</v>
      </c>
      <c r="AU46" s="20">
        <f>[2]дкс9расчет!C60</f>
        <v>36.435511929999997</v>
      </c>
      <c r="AV46" s="20">
        <f>[2]дкс9расчет!D60</f>
        <v>1.8330723520000001</v>
      </c>
    </row>
    <row r="47" spans="3:50" x14ac:dyDescent="0.25">
      <c r="C47" s="14">
        <v>44</v>
      </c>
      <c r="D47" s="20">
        <f t="shared" si="1"/>
        <v>2.5089116984348858</v>
      </c>
      <c r="E47" s="20">
        <v>25.089116984348856</v>
      </c>
      <c r="J47" s="20">
        <f t="shared" si="2"/>
        <v>64</v>
      </c>
      <c r="K47" s="20">
        <f t="shared" si="7"/>
        <v>4.08</v>
      </c>
      <c r="L47" s="20">
        <f t="shared" si="3"/>
        <v>3.46</v>
      </c>
      <c r="M47" s="20">
        <f t="shared" si="6"/>
        <v>4.8600000000000003</v>
      </c>
      <c r="AI47" s="20">
        <v>26</v>
      </c>
      <c r="AJ47" s="20">
        <f t="shared" si="10"/>
        <v>1.0476537181169236</v>
      </c>
      <c r="AK47" s="20">
        <f t="shared" si="9"/>
        <v>1.382930363075773</v>
      </c>
      <c r="AL47" s="20">
        <f t="shared" si="9"/>
        <v>1.8643934817255221</v>
      </c>
      <c r="AM47" s="20">
        <f t="shared" si="9"/>
        <v>2.5823816516083244</v>
      </c>
      <c r="AP47" s="20">
        <v>14.667152053636929</v>
      </c>
      <c r="AQ47" s="20">
        <v>19.36102508306082</v>
      </c>
      <c r="AR47" s="20">
        <v>26.101508744157307</v>
      </c>
      <c r="AS47" s="20">
        <v>36.153343122516539</v>
      </c>
      <c r="AU47" s="20">
        <f>[2]дкс9расчет!C63</f>
        <v>33.505127289999997</v>
      </c>
      <c r="AV47" s="20">
        <f>[2]дкс9расчет!D63</f>
        <v>1.77511866</v>
      </c>
    </row>
    <row r="48" spans="3:50" x14ac:dyDescent="0.25">
      <c r="C48" s="14">
        <v>47</v>
      </c>
      <c r="D48" s="20">
        <f t="shared" si="1"/>
        <v>2.6585862107667566</v>
      </c>
      <c r="E48" s="20">
        <v>26.585862107667563</v>
      </c>
      <c r="J48" s="20">
        <f t="shared" si="2"/>
        <v>68</v>
      </c>
      <c r="K48" s="20">
        <f t="shared" si="7"/>
        <v>4.0999999999999996</v>
      </c>
      <c r="L48" s="20">
        <f t="shared" si="3"/>
        <v>3.6</v>
      </c>
      <c r="M48" s="20">
        <f t="shared" si="6"/>
        <v>4.8600000000000003</v>
      </c>
      <c r="AI48" s="20">
        <v>29</v>
      </c>
      <c r="AJ48" s="20">
        <f t="shared" si="10"/>
        <v>1.2057250359088261</v>
      </c>
      <c r="AK48" s="20">
        <f t="shared" si="9"/>
        <v>1.5594087055798307</v>
      </c>
      <c r="AL48" s="20">
        <f t="shared" si="9"/>
        <v>2.0547557921395119</v>
      </c>
      <c r="AM48" s="20">
        <f t="shared" si="9"/>
        <v>2.7729962797374097</v>
      </c>
      <c r="AP48" s="20">
        <v>16.880150502723566</v>
      </c>
      <c r="AQ48" s="20">
        <v>21.83172187811763</v>
      </c>
      <c r="AR48" s="20">
        <v>28.766581089953167</v>
      </c>
      <c r="AS48" s="20">
        <v>38.82194791632373</v>
      </c>
    </row>
    <row r="49" spans="3:45" x14ac:dyDescent="0.25">
      <c r="C49" s="14">
        <v>50</v>
      </c>
      <c r="D49" s="20">
        <f t="shared" si="1"/>
        <v>2.7999756384517753</v>
      </c>
      <c r="E49" s="20">
        <v>27.999756384517752</v>
      </c>
      <c r="J49" s="20">
        <f t="shared" si="2"/>
        <v>72</v>
      </c>
      <c r="K49" s="20">
        <f t="shared" si="7"/>
        <v>4.05</v>
      </c>
      <c r="L49" s="20">
        <f t="shared" si="3"/>
        <v>3.76</v>
      </c>
      <c r="M49" s="20">
        <f t="shared" si="6"/>
        <v>4.87</v>
      </c>
      <c r="AI49" s="20">
        <v>32</v>
      </c>
      <c r="AJ49" s="20">
        <f t="shared" si="10"/>
        <v>1.3566290863543979</v>
      </c>
      <c r="AK49" s="20">
        <f t="shared" si="9"/>
        <v>1.7242785711148334</v>
      </c>
      <c r="AL49" s="20">
        <f t="shared" si="9"/>
        <v>2.2283965975435427</v>
      </c>
      <c r="AM49" s="20">
        <f t="shared" si="9"/>
        <v>2.9421850472554802</v>
      </c>
      <c r="AP49" s="20">
        <v>18.992807208961569</v>
      </c>
      <c r="AQ49" s="20">
        <v>24.139899995607664</v>
      </c>
      <c r="AR49" s="20">
        <v>31.197552365609596</v>
      </c>
      <c r="AS49" s="20">
        <v>41.190590661576721</v>
      </c>
    </row>
    <row r="50" spans="3:45" x14ac:dyDescent="0.25">
      <c r="C50" s="14">
        <v>53</v>
      </c>
      <c r="D50" s="20">
        <f t="shared" si="1"/>
        <v>2.9336327130364825</v>
      </c>
      <c r="E50" s="20">
        <v>29.336327130364822</v>
      </c>
      <c r="J50" s="20">
        <f t="shared" si="2"/>
        <v>76</v>
      </c>
      <c r="K50" s="20">
        <f t="shared" si="7"/>
        <v>4.0599999999999996</v>
      </c>
      <c r="L50" s="20">
        <f t="shared" si="3"/>
        <v>3.98</v>
      </c>
      <c r="M50" s="20">
        <f t="shared" si="6"/>
        <v>4.88</v>
      </c>
      <c r="AI50" s="20">
        <v>35</v>
      </c>
      <c r="AJ50" s="20">
        <f t="shared" si="10"/>
        <v>1.5000354102505682</v>
      </c>
      <c r="AK50" s="20">
        <f t="shared" si="9"/>
        <v>1.8780856971058253</v>
      </c>
      <c r="AL50" s="20">
        <f t="shared" si="9"/>
        <v>2.3871136480286337</v>
      </c>
      <c r="AM50" s="20">
        <f t="shared" si="9"/>
        <v>3.09325754946736</v>
      </c>
      <c r="AP50" s="20">
        <v>21.000495743507951</v>
      </c>
      <c r="AQ50" s="20">
        <v>26.293199759481553</v>
      </c>
      <c r="AR50" s="20">
        <v>33.41959107240087</v>
      </c>
      <c r="AS50" s="20">
        <v>43.305605692543033</v>
      </c>
    </row>
    <row r="51" spans="3:45" x14ac:dyDescent="0.25">
      <c r="C51" s="14">
        <v>56</v>
      </c>
      <c r="D51" s="20">
        <f t="shared" si="1"/>
        <v>3.0600884913208297</v>
      </c>
      <c r="E51" s="20">
        <v>30.600884913208297</v>
      </c>
      <c r="J51" s="20">
        <f t="shared" si="2"/>
        <v>80</v>
      </c>
      <c r="K51" s="20">
        <f t="shared" si="7"/>
        <v>4.08</v>
      </c>
      <c r="M51" s="20">
        <f t="shared" si="6"/>
        <v>4.8899999999999997</v>
      </c>
      <c r="AI51" s="20">
        <v>38</v>
      </c>
      <c r="AJ51" s="20">
        <f t="shared" si="10"/>
        <v>1.635955759307693</v>
      </c>
      <c r="AK51" s="20">
        <f t="shared" si="9"/>
        <v>2.0215465364518148</v>
      </c>
      <c r="AL51" s="20">
        <f t="shared" si="9"/>
        <v>2.5325584288629566</v>
      </c>
      <c r="AM51" s="20">
        <f t="shared" si="9"/>
        <v>3.2289097934852782</v>
      </c>
      <c r="AP51" s="20">
        <v>22.903380630307701</v>
      </c>
      <c r="AQ51" s="20">
        <v>28.301651510325403</v>
      </c>
      <c r="AR51" s="20">
        <v>35.455818004081394</v>
      </c>
      <c r="AS51" s="20">
        <v>45.204737108793893</v>
      </c>
    </row>
    <row r="52" spans="3:45" x14ac:dyDescent="0.25">
      <c r="C52" s="14">
        <v>59</v>
      </c>
      <c r="D52" s="20">
        <f t="shared" si="1"/>
        <v>3.1798449397816739</v>
      </c>
      <c r="E52" s="20">
        <v>31.798449397816739</v>
      </c>
      <c r="J52" s="20">
        <f t="shared" si="2"/>
        <v>100</v>
      </c>
      <c r="K52" s="20">
        <f t="shared" si="7"/>
        <v>4.29</v>
      </c>
      <c r="M52" s="20">
        <f t="shared" si="6"/>
        <v>4.87</v>
      </c>
      <c r="AI52" s="20">
        <v>41</v>
      </c>
      <c r="AJ52" s="20">
        <f t="shared" si="10"/>
        <v>1.7645997934109643</v>
      </c>
      <c r="AK52" s="20">
        <f t="shared" si="9"/>
        <v>2.1554332365515916</v>
      </c>
      <c r="AL52" s="20">
        <f t="shared" si="9"/>
        <v>2.6662056669972172</v>
      </c>
      <c r="AM52" s="20">
        <f t="shared" si="9"/>
        <v>3.3513472849355699</v>
      </c>
      <c r="AP52" s="20">
        <v>24.704397107753501</v>
      </c>
      <c r="AQ52" s="20">
        <v>30.176065311722276</v>
      </c>
      <c r="AR52" s="20">
        <v>37.326879337961039</v>
      </c>
      <c r="AS52" s="20">
        <v>46.918861989097977</v>
      </c>
    </row>
    <row r="53" spans="3:45" x14ac:dyDescent="0.25">
      <c r="C53" s="14">
        <v>62</v>
      </c>
      <c r="D53" s="20">
        <f t="shared" si="1"/>
        <v>3.2933715542778845</v>
      </c>
      <c r="E53" s="20">
        <v>32.933715542778842</v>
      </c>
      <c r="J53" s="20">
        <f t="shared" si="2"/>
        <v>120</v>
      </c>
      <c r="M53" s="20">
        <f t="shared" si="6"/>
        <v>4.87</v>
      </c>
      <c r="AI53" s="20">
        <v>44</v>
      </c>
      <c r="AJ53" s="20">
        <f t="shared" si="10"/>
        <v>1.8862860759704785</v>
      </c>
      <c r="AK53" s="20">
        <f t="shared" si="9"/>
        <v>2.2805126330653067</v>
      </c>
      <c r="AL53" s="20">
        <f t="shared" si="9"/>
        <v>2.7893539723952578</v>
      </c>
      <c r="AM53" s="20">
        <f t="shared" si="9"/>
        <v>3.4623851459313078</v>
      </c>
      <c r="AP53" s="20">
        <v>26.408005063586696</v>
      </c>
      <c r="AQ53" s="20">
        <v>31.927176862914294</v>
      </c>
      <c r="AR53" s="20">
        <v>39.05095561353361</v>
      </c>
      <c r="AS53" s="20">
        <v>48.473392043038302</v>
      </c>
    </row>
    <row r="54" spans="3:45" x14ac:dyDescent="0.25">
      <c r="C54" s="14">
        <v>65</v>
      </c>
      <c r="D54" s="20">
        <f t="shared" si="1"/>
        <v>3.4011044454253483</v>
      </c>
      <c r="E54" s="20">
        <v>34.011044454253479</v>
      </c>
      <c r="J54" s="20">
        <f t="shared" si="2"/>
        <v>150</v>
      </c>
      <c r="M54" s="20">
        <f t="shared" si="6"/>
        <v>4.96</v>
      </c>
      <c r="AI54" s="20">
        <v>47</v>
      </c>
      <c r="AJ54" s="20">
        <f t="shared" si="10"/>
        <v>2.001387309622547</v>
      </c>
      <c r="AK54" s="20">
        <f t="shared" si="9"/>
        <v>2.3975152408278424</v>
      </c>
      <c r="AL54" s="20">
        <f t="shared" si="9"/>
        <v>2.9031393637654261</v>
      </c>
      <c r="AM54" s="20">
        <f t="shared" si="9"/>
        <v>3.5635272721241562</v>
      </c>
      <c r="AP54" s="20">
        <v>28.019422334715657</v>
      </c>
      <c r="AQ54" s="20">
        <v>33.565213371589792</v>
      </c>
      <c r="AR54" s="20">
        <v>40.643951092715966</v>
      </c>
      <c r="AS54" s="20">
        <v>49.889381809738182</v>
      </c>
    </row>
    <row r="55" spans="3:45" x14ac:dyDescent="0.25">
      <c r="C55" s="14">
        <v>68</v>
      </c>
      <c r="D55" s="20">
        <f t="shared" si="1"/>
        <v>3.5034468985152167</v>
      </c>
      <c r="E55" s="20">
        <v>35.034468985152166</v>
      </c>
      <c r="AI55" s="20">
        <v>50</v>
      </c>
      <c r="AJ55" s="20">
        <f t="shared" si="10"/>
        <v>2.1102968514202551</v>
      </c>
      <c r="AK55" s="20">
        <f t="shared" si="9"/>
        <v>2.5071209396610659</v>
      </c>
      <c r="AL55" s="20">
        <f t="shared" si="9"/>
        <v>3.0085531438763269</v>
      </c>
      <c r="AM55" s="20">
        <f t="shared" si="9"/>
        <v>3.656028288101441</v>
      </c>
      <c r="AP55" s="20">
        <v>29.544155919883572</v>
      </c>
      <c r="AQ55" s="20">
        <v>35.099693155254919</v>
      </c>
      <c r="AR55" s="20">
        <v>42.119744014268576</v>
      </c>
      <c r="AS55" s="20">
        <v>51.184396033420171</v>
      </c>
    </row>
    <row r="56" spans="3:45" x14ac:dyDescent="0.25">
      <c r="C56" s="14">
        <v>71</v>
      </c>
      <c r="D56" s="20">
        <f t="shared" si="1"/>
        <v>3.6007707811230172</v>
      </c>
      <c r="E56" s="20">
        <v>36.007707811230169</v>
      </c>
      <c r="AI56" s="20">
        <v>53</v>
      </c>
      <c r="AJ56" s="20">
        <f t="shared" si="10"/>
        <v>2.2134085153026106</v>
      </c>
      <c r="AK56" s="20">
        <f t="shared" ref="AK56:AK70" si="11">AQ56/$AI$37/$AJ$37</f>
        <v>2.6099538981663675</v>
      </c>
      <c r="AL56" s="20">
        <f t="shared" ref="AL56:AL70" si="12">AR56/$AI$37/$AJ$37</f>
        <v>3.1064602130252466</v>
      </c>
      <c r="AM56" s="20">
        <f t="shared" ref="AM56:AM70" si="13">AS56/$AI$37/$AJ$37</f>
        <v>3.7409419628541811</v>
      </c>
      <c r="AP56" s="20">
        <v>30.987719214236549</v>
      </c>
      <c r="AQ56" s="20">
        <v>36.539354574329145</v>
      </c>
      <c r="AR56" s="20">
        <v>43.49044298235345</v>
      </c>
      <c r="AS56" s="20">
        <v>52.373187479958531</v>
      </c>
    </row>
    <row r="57" spans="3:45" x14ac:dyDescent="0.25">
      <c r="C57" s="14">
        <v>74</v>
      </c>
      <c r="D57" s="20">
        <f t="shared" si="1"/>
        <v>3.6934184027091357</v>
      </c>
      <c r="E57" s="20">
        <v>36.934184027091355</v>
      </c>
      <c r="N57" s="20" t="s">
        <v>134</v>
      </c>
      <c r="AI57" s="20">
        <v>56</v>
      </c>
      <c r="AJ57" s="20">
        <f t="shared" si="10"/>
        <v>2.3111047034176826</v>
      </c>
      <c r="AK57" s="20">
        <f t="shared" si="11"/>
        <v>2.7065825144457718</v>
      </c>
      <c r="AL57" s="20">
        <f t="shared" si="12"/>
        <v>3.1976161337069806</v>
      </c>
      <c r="AM57" s="20">
        <f t="shared" si="13"/>
        <v>3.8191591464326264</v>
      </c>
      <c r="AP57" s="20">
        <v>32.355465847847555</v>
      </c>
      <c r="AQ57" s="20">
        <v>37.892155202240801</v>
      </c>
      <c r="AR57" s="20">
        <v>44.766625871897723</v>
      </c>
      <c r="AS57" s="20">
        <v>53.468228050056766</v>
      </c>
    </row>
    <row r="58" spans="3:45" x14ac:dyDescent="0.25">
      <c r="C58" s="14">
        <v>77</v>
      </c>
      <c r="D58" s="20">
        <f t="shared" si="1"/>
        <v>3.7817045781056997</v>
      </c>
      <c r="E58" s="20">
        <v>37.817045781056997</v>
      </c>
      <c r="AI58" s="20">
        <v>59</v>
      </c>
      <c r="AJ58" s="20">
        <f t="shared" si="10"/>
        <v>2.4037497666509275</v>
      </c>
      <c r="AK58" s="20">
        <f t="shared" si="11"/>
        <v>2.7975219704350955</v>
      </c>
      <c r="AL58" s="20">
        <f t="shared" si="12"/>
        <v>3.2826823285777955</v>
      </c>
      <c r="AM58" s="20">
        <f t="shared" si="13"/>
        <v>3.8914376412940146</v>
      </c>
      <c r="AP58" s="20">
        <v>33.652496733112983</v>
      </c>
      <c r="AQ58" s="20">
        <v>39.165307586091338</v>
      </c>
      <c r="AR58" s="20">
        <v>45.957552600089137</v>
      </c>
      <c r="AS58" s="20">
        <v>54.480126978116203</v>
      </c>
    </row>
    <row r="59" spans="3:45" x14ac:dyDescent="0.25">
      <c r="C59" s="14">
        <v>80</v>
      </c>
      <c r="D59" s="20">
        <f t="shared" si="1"/>
        <v>3.8659187414423557</v>
      </c>
      <c r="E59" s="20">
        <v>38.659187414423556</v>
      </c>
      <c r="AI59" s="20">
        <v>62</v>
      </c>
      <c r="AJ59" s="20">
        <f t="shared" si="10"/>
        <v>2.4916866419302832</v>
      </c>
      <c r="AK59" s="20">
        <f t="shared" si="11"/>
        <v>2.8832380311239136</v>
      </c>
      <c r="AL59" s="20">
        <f t="shared" si="12"/>
        <v>3.3622392974870343</v>
      </c>
      <c r="AM59" s="20">
        <f t="shared" si="13"/>
        <v>3.9584258641032943</v>
      </c>
      <c r="AP59" s="20">
        <v>34.883612987023966</v>
      </c>
      <c r="AQ59" s="20">
        <v>40.365332435734793</v>
      </c>
      <c r="AR59" s="20">
        <v>47.071350164818483</v>
      </c>
      <c r="AS59" s="20">
        <v>55.417962097446114</v>
      </c>
    </row>
    <row r="60" spans="3:45" x14ac:dyDescent="0.25">
      <c r="C60" s="14">
        <v>100</v>
      </c>
      <c r="D60" s="20">
        <f t="shared" si="1"/>
        <v>4.359968862809275</v>
      </c>
      <c r="E60" s="20">
        <v>43.59968862809275</v>
      </c>
      <c r="AI60" s="20">
        <v>65</v>
      </c>
      <c r="AJ60" s="20">
        <f t="shared" si="10"/>
        <v>2.5752355282594479</v>
      </c>
      <c r="AK60" s="20">
        <f t="shared" si="11"/>
        <v>2.964151315113984</v>
      </c>
      <c r="AL60" s="20">
        <f t="shared" si="12"/>
        <v>3.4367979642199677</v>
      </c>
      <c r="AM60" s="20">
        <f t="shared" si="13"/>
        <v>4.0206817105625703</v>
      </c>
      <c r="AP60" s="20">
        <v>36.053297395632271</v>
      </c>
      <c r="AQ60" s="20">
        <v>41.498118411595769</v>
      </c>
      <c r="AR60" s="20">
        <v>48.115171499079551</v>
      </c>
      <c r="AS60" s="20">
        <v>56.289543947875977</v>
      </c>
    </row>
    <row r="61" spans="3:45" x14ac:dyDescent="0.25">
      <c r="C61" s="14">
        <v>110</v>
      </c>
      <c r="D61" s="20">
        <f t="shared" si="1"/>
        <v>4.538679520305184</v>
      </c>
      <c r="E61" s="20">
        <v>45.38679520305184</v>
      </c>
      <c r="AI61" s="20">
        <v>68</v>
      </c>
      <c r="AJ61" s="20">
        <f t="shared" si="10"/>
        <v>2.6546938124006716</v>
      </c>
      <c r="AK61" s="20">
        <f t="shared" si="11"/>
        <v>3.0406416079307164</v>
      </c>
      <c r="AL61" s="20">
        <f t="shared" si="12"/>
        <v>3.5068093513819889</v>
      </c>
      <c r="AM61" s="20">
        <f t="shared" si="13"/>
        <v>4.0786876957935947</v>
      </c>
      <c r="AP61" s="20">
        <v>37.1657133736094</v>
      </c>
      <c r="AQ61" s="20">
        <v>42.568982511030029</v>
      </c>
      <c r="AR61" s="20">
        <v>49.095330919347838</v>
      </c>
      <c r="AS61" s="20">
        <v>57.10162774111032</v>
      </c>
    </row>
    <row r="62" spans="3:45" x14ac:dyDescent="0.25">
      <c r="C62" s="14">
        <v>120</v>
      </c>
      <c r="D62" s="20">
        <f t="shared" si="1"/>
        <v>4.7079729265104833</v>
      </c>
      <c r="E62" s="20">
        <v>47.079729265104831</v>
      </c>
      <c r="AI62" s="20">
        <v>71</v>
      </c>
      <c r="AJ62" s="20">
        <f t="shared" si="10"/>
        <v>2.730336739796301</v>
      </c>
      <c r="AK62" s="20">
        <f t="shared" si="11"/>
        <v>3.1130519901251055</v>
      </c>
      <c r="AL62" s="20">
        <f t="shared" si="12"/>
        <v>3.5726728035200535</v>
      </c>
      <c r="AM62" s="20">
        <f t="shared" si="13"/>
        <v>4.1328631858855651</v>
      </c>
      <c r="AP62" s="20">
        <v>38.224714357148208</v>
      </c>
      <c r="AQ62" s="20">
        <v>43.582727861751479</v>
      </c>
      <c r="AR62" s="20">
        <v>50.017419249280749</v>
      </c>
      <c r="AS62" s="20">
        <v>57.860084602397912</v>
      </c>
    </row>
    <row r="63" spans="3:45" x14ac:dyDescent="0.25">
      <c r="C63" s="14">
        <v>130</v>
      </c>
      <c r="D63" s="20">
        <f t="shared" si="1"/>
        <v>4.8577452624845643</v>
      </c>
      <c r="E63" s="20">
        <v>48.577452624845641</v>
      </c>
      <c r="AI63" s="20">
        <v>74</v>
      </c>
      <c r="AJ63" s="20">
        <f t="shared" si="10"/>
        <v>2.8024185082533557</v>
      </c>
      <c r="AK63" s="20">
        <f t="shared" si="11"/>
        <v>3.1816926686573757</v>
      </c>
      <c r="AL63" s="20">
        <f t="shared" si="12"/>
        <v>3.6347429698449476</v>
      </c>
      <c r="AM63" s="20">
        <f t="shared" si="13"/>
        <v>4.183574343239191</v>
      </c>
      <c r="AP63" s="20">
        <v>39.233859115546977</v>
      </c>
      <c r="AQ63" s="20">
        <v>44.543697361203257</v>
      </c>
      <c r="AR63" s="20">
        <v>50.886401577829261</v>
      </c>
      <c r="AS63" s="20">
        <v>58.570040805348675</v>
      </c>
    </row>
    <row r="64" spans="3:45" x14ac:dyDescent="0.25">
      <c r="C64" s="14">
        <v>140</v>
      </c>
      <c r="D64" s="20">
        <f t="shared" si="1"/>
        <v>4.9916065247570423</v>
      </c>
      <c r="E64" s="20">
        <v>49.916065247570415</v>
      </c>
      <c r="AI64" s="20">
        <v>77</v>
      </c>
      <c r="AJ64" s="20">
        <f t="shared" si="10"/>
        <v>2.8711735789810442</v>
      </c>
      <c r="AK64" s="20">
        <f t="shared" si="11"/>
        <v>3.2468444670224708</v>
      </c>
      <c r="AL64" s="20">
        <f t="shared" si="12"/>
        <v>3.6933357366946375</v>
      </c>
      <c r="AM64" s="20">
        <f t="shared" si="13"/>
        <v>4.2311422634557578</v>
      </c>
      <c r="AP64" s="20">
        <v>40.196430105734613</v>
      </c>
      <c r="AQ64" s="20">
        <v>45.455822538314585</v>
      </c>
      <c r="AR64" s="20">
        <v>51.706700313724923</v>
      </c>
      <c r="AS64" s="20">
        <v>59.235991688380608</v>
      </c>
    </row>
    <row r="65" spans="3:63" x14ac:dyDescent="0.25">
      <c r="C65" s="14"/>
      <c r="AI65" s="20">
        <v>80</v>
      </c>
      <c r="AJ65" s="20">
        <f t="shared" si="10"/>
        <v>2.9368180752929671</v>
      </c>
      <c r="AK65" s="20">
        <f t="shared" si="11"/>
        <v>3.3087619673033699</v>
      </c>
      <c r="AL65" s="20">
        <f t="shared" si="12"/>
        <v>3.7487332749779037</v>
      </c>
      <c r="AM65" s="20">
        <f t="shared" si="13"/>
        <v>4.2758496724831501</v>
      </c>
      <c r="AP65" s="20">
        <v>41.115453054101536</v>
      </c>
      <c r="AQ65" s="20">
        <v>46.322667542247174</v>
      </c>
      <c r="AR65" s="20">
        <v>52.482265849690648</v>
      </c>
      <c r="AS65" s="20">
        <v>59.861895414764099</v>
      </c>
    </row>
    <row r="66" spans="3:63" x14ac:dyDescent="0.25">
      <c r="C66" s="14"/>
      <c r="AI66" s="20">
        <v>100</v>
      </c>
      <c r="AJ66" s="20">
        <f t="shared" si="10"/>
        <v>3.3245167352284897</v>
      </c>
      <c r="AK66" s="20">
        <f t="shared" si="11"/>
        <v>3.6677187150186481</v>
      </c>
      <c r="AL66" s="20">
        <f t="shared" si="12"/>
        <v>4.0629092726377936</v>
      </c>
      <c r="AM66" s="20">
        <f t="shared" si="13"/>
        <v>4.5227513211977799</v>
      </c>
      <c r="AP66" s="20">
        <v>46.54323429319885</v>
      </c>
      <c r="AQ66" s="20">
        <v>51.348062010261074</v>
      </c>
      <c r="AR66" s="20">
        <v>56.880729816929104</v>
      </c>
      <c r="AS66" s="20">
        <v>63.31851849676891</v>
      </c>
    </row>
    <row r="67" spans="3:63" x14ac:dyDescent="0.25">
      <c r="C67" s="14"/>
      <c r="AI67" s="20">
        <v>110</v>
      </c>
      <c r="AJ67" s="20">
        <f t="shared" si="10"/>
        <v>3.4636919081897068</v>
      </c>
      <c r="AK67" s="20">
        <f t="shared" si="11"/>
        <v>3.7957680058181738</v>
      </c>
      <c r="AL67" s="20">
        <f t="shared" si="12"/>
        <v>4.1747035053862742</v>
      </c>
      <c r="AM67" s="20">
        <f t="shared" si="13"/>
        <v>4.6107968623513749</v>
      </c>
      <c r="AP67" s="20">
        <v>48.491686714655899</v>
      </c>
      <c r="AQ67" s="20">
        <v>53.14075208145443</v>
      </c>
      <c r="AR67" s="20">
        <v>58.445849075407835</v>
      </c>
      <c r="AS67" s="20">
        <v>64.551156072919241</v>
      </c>
    </row>
    <row r="68" spans="3:63" x14ac:dyDescent="0.25">
      <c r="C68" s="14"/>
      <c r="AI68" s="20">
        <v>120</v>
      </c>
      <c r="AJ68" s="20">
        <f t="shared" si="10"/>
        <v>3.596827730096646</v>
      </c>
      <c r="AK68" s="20">
        <f t="shared" si="11"/>
        <v>3.916313312820217</v>
      </c>
      <c r="AL68" s="20">
        <f t="shared" si="12"/>
        <v>4.2777807970518253</v>
      </c>
      <c r="AM68" s="20">
        <f t="shared" si="13"/>
        <v>4.6898379094655258</v>
      </c>
      <c r="AP68" s="20">
        <v>50.355588221353038</v>
      </c>
      <c r="AQ68" s="20">
        <v>54.828386379483035</v>
      </c>
      <c r="AR68" s="20">
        <v>59.888931158725555</v>
      </c>
      <c r="AS68" s="20">
        <v>65.657730732517365</v>
      </c>
    </row>
    <row r="69" spans="3:63" x14ac:dyDescent="0.25">
      <c r="C69" s="14"/>
      <c r="AI69" s="20">
        <v>130</v>
      </c>
      <c r="AJ69" s="20">
        <f t="shared" si="10"/>
        <v>3.7147337369424731</v>
      </c>
      <c r="AK69" s="20">
        <f t="shared" si="11"/>
        <v>4.0223375780740449</v>
      </c>
      <c r="AL69" s="20">
        <f t="shared" si="12"/>
        <v>4.3677628763497767</v>
      </c>
      <c r="AM69" s="20">
        <f t="shared" si="13"/>
        <v>4.7582519771955534</v>
      </c>
      <c r="AP69" s="20">
        <v>52.006272317194622</v>
      </c>
      <c r="AQ69" s="20">
        <v>56.31272609303663</v>
      </c>
      <c r="AR69" s="20">
        <v>61.148680268896875</v>
      </c>
      <c r="AS69" s="20">
        <v>66.615527680737742</v>
      </c>
    </row>
    <row r="70" spans="3:63" x14ac:dyDescent="0.25">
      <c r="C70" s="14"/>
      <c r="AI70" s="20">
        <v>140</v>
      </c>
      <c r="AJ70" s="20">
        <f t="shared" si="10"/>
        <v>3.8202863087278396</v>
      </c>
      <c r="AK70" s="20">
        <f t="shared" si="11"/>
        <v>4.1166105119796432</v>
      </c>
      <c r="AL70" s="20">
        <f t="shared" si="12"/>
        <v>4.4471720778260666</v>
      </c>
      <c r="AM70" s="20">
        <f t="shared" si="13"/>
        <v>4.8181194501624942</v>
      </c>
      <c r="AP70" s="20">
        <v>53.484008322189752</v>
      </c>
      <c r="AQ70" s="20">
        <v>57.632547167714996</v>
      </c>
      <c r="AR70" s="20">
        <v>62.260409089564931</v>
      </c>
      <c r="AS70" s="20">
        <v>67.453672302274924</v>
      </c>
    </row>
    <row r="71" spans="3:63" x14ac:dyDescent="0.25">
      <c r="C71" s="14"/>
    </row>
    <row r="72" spans="3:63" x14ac:dyDescent="0.25">
      <c r="C72" s="14"/>
    </row>
    <row r="73" spans="3:63" x14ac:dyDescent="0.25">
      <c r="C73" s="14"/>
    </row>
    <row r="74" spans="3:63" x14ac:dyDescent="0.25">
      <c r="C74" s="14"/>
    </row>
    <row r="75" spans="3:63" x14ac:dyDescent="0.25">
      <c r="S75" s="20" t="s">
        <v>42</v>
      </c>
      <c r="AD75" s="20" t="s">
        <v>43</v>
      </c>
      <c r="AP75" s="20" t="s">
        <v>23</v>
      </c>
      <c r="BA75" s="20" t="s">
        <v>44</v>
      </c>
    </row>
    <row r="76" spans="3:63" x14ac:dyDescent="0.25">
      <c r="S76" s="20" t="s">
        <v>24</v>
      </c>
      <c r="T76" s="20" t="s">
        <v>25</v>
      </c>
      <c r="U76" s="20" t="s">
        <v>26</v>
      </c>
      <c r="V76" s="20" t="s">
        <v>27</v>
      </c>
      <c r="W76" s="20" t="s">
        <v>28</v>
      </c>
      <c r="X76" s="20" t="s">
        <v>29</v>
      </c>
      <c r="Y76" s="20" t="s">
        <v>30</v>
      </c>
      <c r="Z76" s="20" t="s">
        <v>31</v>
      </c>
      <c r="AA76" s="20" t="s">
        <v>32</v>
      </c>
      <c r="AB76" s="20" t="s">
        <v>33</v>
      </c>
      <c r="AC76" s="20" t="s">
        <v>34</v>
      </c>
      <c r="AD76" s="20" t="s">
        <v>24</v>
      </c>
      <c r="AE76" s="20" t="s">
        <v>25</v>
      </c>
      <c r="AF76" s="20" t="s">
        <v>26</v>
      </c>
      <c r="AG76" s="20" t="s">
        <v>27</v>
      </c>
      <c r="AH76" s="20" t="s">
        <v>28</v>
      </c>
      <c r="AI76" s="20" t="s">
        <v>29</v>
      </c>
      <c r="AJ76" s="20" t="s">
        <v>30</v>
      </c>
      <c r="AK76" s="20" t="s">
        <v>31</v>
      </c>
      <c r="AL76" s="20" t="s">
        <v>32</v>
      </c>
      <c r="AM76" s="20" t="s">
        <v>33</v>
      </c>
      <c r="AN76" s="20" t="s">
        <v>34</v>
      </c>
      <c r="AP76" s="20" t="s">
        <v>24</v>
      </c>
      <c r="AQ76" s="20" t="s">
        <v>25</v>
      </c>
      <c r="AR76" s="20" t="s">
        <v>26</v>
      </c>
      <c r="AS76" s="20" t="s">
        <v>27</v>
      </c>
      <c r="AT76" s="20" t="s">
        <v>28</v>
      </c>
      <c r="AU76" s="20" t="s">
        <v>29</v>
      </c>
      <c r="AV76" s="20" t="s">
        <v>30</v>
      </c>
      <c r="AW76" s="20" t="s">
        <v>31</v>
      </c>
      <c r="AX76" s="20" t="s">
        <v>32</v>
      </c>
      <c r="AY76" s="20" t="s">
        <v>33</v>
      </c>
      <c r="AZ76" s="20" t="s">
        <v>34</v>
      </c>
      <c r="BA76" s="20" t="s">
        <v>24</v>
      </c>
      <c r="BB76" s="20" t="s">
        <v>25</v>
      </c>
      <c r="BC76" s="20" t="s">
        <v>26</v>
      </c>
      <c r="BD76" s="20" t="s">
        <v>27</v>
      </c>
      <c r="BE76" s="20" t="s">
        <v>28</v>
      </c>
      <c r="BF76" s="20" t="s">
        <v>29</v>
      </c>
      <c r="BG76" s="20" t="s">
        <v>30</v>
      </c>
      <c r="BH76" s="20" t="s">
        <v>31</v>
      </c>
      <c r="BI76" s="20" t="s">
        <v>32</v>
      </c>
      <c r="BJ76" s="20" t="s">
        <v>33</v>
      </c>
      <c r="BK76" s="20" t="s">
        <v>34</v>
      </c>
    </row>
    <row r="77" spans="3:63" x14ac:dyDescent="0.25">
      <c r="N77" s="20">
        <v>1</v>
      </c>
      <c r="O77" s="20">
        <v>10</v>
      </c>
      <c r="P77" s="20">
        <v>1</v>
      </c>
      <c r="Q77" s="20">
        <v>7.36</v>
      </c>
      <c r="R77" s="20">
        <v>1</v>
      </c>
      <c r="S77" s="20" t="s">
        <v>45</v>
      </c>
      <c r="AD77" s="20">
        <v>5455</v>
      </c>
      <c r="AE77" s="20">
        <v>14724</v>
      </c>
      <c r="AF77" s="20" t="s">
        <v>35</v>
      </c>
      <c r="AG77" s="20">
        <v>3.05</v>
      </c>
      <c r="AH77" s="20">
        <v>7.36</v>
      </c>
      <c r="AI77" s="20">
        <v>2.42</v>
      </c>
      <c r="AJ77" s="20">
        <v>1</v>
      </c>
      <c r="AK77" s="20">
        <v>111</v>
      </c>
      <c r="AL77" s="20">
        <v>104</v>
      </c>
      <c r="AM77" s="20">
        <v>38</v>
      </c>
      <c r="AN77" s="20">
        <v>214</v>
      </c>
      <c r="AP77" s="20" t="s">
        <v>45</v>
      </c>
      <c r="BA77" s="20">
        <v>4750</v>
      </c>
      <c r="BB77" s="20">
        <v>15930</v>
      </c>
      <c r="BC77" s="20" t="s">
        <v>35</v>
      </c>
      <c r="BD77" s="20">
        <v>2.91</v>
      </c>
      <c r="BE77" s="20">
        <v>7.36</v>
      </c>
      <c r="BF77" s="20">
        <v>2.5299999999999998</v>
      </c>
      <c r="BG77" s="20">
        <v>1</v>
      </c>
      <c r="BH77" s="20">
        <v>117</v>
      </c>
      <c r="BI77" s="20">
        <v>112</v>
      </c>
      <c r="BJ77" s="20">
        <v>96</v>
      </c>
      <c r="BK77" s="20">
        <v>224</v>
      </c>
    </row>
    <row r="78" spans="3:63" x14ac:dyDescent="0.25">
      <c r="N78" s="20">
        <v>2</v>
      </c>
      <c r="O78" s="20">
        <v>14</v>
      </c>
      <c r="P78" s="20">
        <v>1</v>
      </c>
      <c r="Q78" s="20">
        <v>7.36</v>
      </c>
      <c r="R78" s="20">
        <v>2</v>
      </c>
      <c r="S78" s="20">
        <v>5455</v>
      </c>
      <c r="T78" s="20">
        <v>12493</v>
      </c>
      <c r="U78" s="20" t="s">
        <v>35</v>
      </c>
      <c r="V78" s="20">
        <v>4.05</v>
      </c>
      <c r="W78" s="20">
        <v>7.36</v>
      </c>
      <c r="X78" s="20">
        <v>1.82</v>
      </c>
      <c r="Y78" s="20">
        <v>1</v>
      </c>
      <c r="Z78" s="20">
        <v>98</v>
      </c>
      <c r="AA78" s="20">
        <v>67</v>
      </c>
      <c r="AB78" s="20">
        <v>1</v>
      </c>
      <c r="AC78" s="20">
        <v>221</v>
      </c>
      <c r="AD78" s="20">
        <v>4960</v>
      </c>
      <c r="AE78" s="20">
        <v>15926</v>
      </c>
      <c r="AF78" s="20" t="s">
        <v>35</v>
      </c>
      <c r="AG78" s="20">
        <v>3.69</v>
      </c>
      <c r="AH78" s="20">
        <v>7.36</v>
      </c>
      <c r="AI78" s="20">
        <v>2</v>
      </c>
      <c r="AJ78" s="20">
        <v>1</v>
      </c>
      <c r="AK78" s="20">
        <v>117</v>
      </c>
      <c r="AL78" s="20">
        <v>83</v>
      </c>
      <c r="AM78" s="20">
        <v>92</v>
      </c>
      <c r="AN78" s="20">
        <v>244</v>
      </c>
      <c r="AP78" s="20" t="s">
        <v>45</v>
      </c>
      <c r="BA78" s="20">
        <v>5455</v>
      </c>
      <c r="BB78" s="20">
        <v>15684</v>
      </c>
      <c r="BC78" s="20" t="s">
        <v>35</v>
      </c>
      <c r="BD78" s="20">
        <v>2.12</v>
      </c>
      <c r="BE78" s="20">
        <v>7.36</v>
      </c>
      <c r="BF78" s="20">
        <v>3.47</v>
      </c>
      <c r="BG78" s="20">
        <v>2</v>
      </c>
      <c r="BH78" s="20">
        <v>232</v>
      </c>
      <c r="BI78" s="20">
        <v>153</v>
      </c>
      <c r="BJ78" s="20">
        <v>51</v>
      </c>
      <c r="BK78" s="20">
        <v>219</v>
      </c>
    </row>
    <row r="79" spans="3:63" x14ac:dyDescent="0.25">
      <c r="N79" s="20">
        <v>3</v>
      </c>
      <c r="O79" s="20">
        <v>20</v>
      </c>
      <c r="P79" s="20">
        <v>1</v>
      </c>
      <c r="Q79" s="20">
        <v>7.36</v>
      </c>
      <c r="R79" s="20">
        <v>3</v>
      </c>
      <c r="S79" s="20">
        <v>5335</v>
      </c>
      <c r="T79" s="20">
        <v>15988</v>
      </c>
      <c r="U79" s="20" t="s">
        <v>35</v>
      </c>
      <c r="V79" s="20">
        <v>4.29</v>
      </c>
      <c r="W79" s="20">
        <v>7.36</v>
      </c>
      <c r="X79" s="20">
        <v>1.71</v>
      </c>
      <c r="Y79" s="20">
        <v>1</v>
      </c>
      <c r="Z79" s="20">
        <v>117</v>
      </c>
      <c r="AA79" s="20">
        <v>61</v>
      </c>
      <c r="AB79" s="20">
        <v>88</v>
      </c>
      <c r="AC79" s="20">
        <v>295</v>
      </c>
      <c r="AD79" s="20">
        <v>5455</v>
      </c>
      <c r="AE79" s="20">
        <v>14724</v>
      </c>
      <c r="AF79" s="20" t="s">
        <v>35</v>
      </c>
      <c r="AG79" s="20">
        <v>3.05</v>
      </c>
      <c r="AH79" s="20">
        <v>7.36</v>
      </c>
      <c r="AI79" s="20">
        <v>2.42</v>
      </c>
      <c r="AJ79" s="20">
        <v>2</v>
      </c>
      <c r="AK79" s="20">
        <v>221</v>
      </c>
      <c r="AL79" s="20">
        <v>104</v>
      </c>
      <c r="AM79" s="20">
        <v>38</v>
      </c>
      <c r="AN79" s="20">
        <v>214</v>
      </c>
      <c r="AP79" s="20">
        <v>4390</v>
      </c>
      <c r="AQ79" s="20">
        <v>7905</v>
      </c>
      <c r="AR79" s="20" t="s">
        <v>35</v>
      </c>
      <c r="AS79" s="20">
        <v>5.58</v>
      </c>
      <c r="AT79" s="20">
        <v>7.36</v>
      </c>
      <c r="AU79" s="20">
        <v>1.32</v>
      </c>
      <c r="AV79" s="20">
        <v>1</v>
      </c>
      <c r="AW79" s="20">
        <v>73</v>
      </c>
      <c r="AX79" s="20">
        <v>36</v>
      </c>
      <c r="AY79" s="20">
        <v>1</v>
      </c>
      <c r="AZ79" s="20">
        <v>222</v>
      </c>
      <c r="BA79" s="20">
        <v>5455</v>
      </c>
      <c r="BB79" s="20">
        <v>15089</v>
      </c>
      <c r="BC79" s="20" t="s">
        <v>35</v>
      </c>
      <c r="BD79" s="20">
        <v>2.11</v>
      </c>
      <c r="BE79" s="20">
        <v>7.36</v>
      </c>
      <c r="BF79" s="20">
        <v>3.49</v>
      </c>
      <c r="BG79" s="20">
        <v>3</v>
      </c>
      <c r="BH79" s="20">
        <v>338</v>
      </c>
      <c r="BI79" s="20">
        <v>154</v>
      </c>
      <c r="BJ79" s="20">
        <v>40</v>
      </c>
      <c r="BK79" s="20">
        <v>210</v>
      </c>
    </row>
    <row r="80" spans="3:63" x14ac:dyDescent="0.25">
      <c r="N80" s="20">
        <v>4</v>
      </c>
      <c r="O80" s="20">
        <v>24</v>
      </c>
      <c r="P80" s="20">
        <v>1</v>
      </c>
      <c r="Q80" s="20">
        <v>7.36</v>
      </c>
      <c r="R80" s="20">
        <v>4</v>
      </c>
      <c r="S80" s="20" t="s">
        <v>45</v>
      </c>
      <c r="AD80" s="20">
        <v>5260</v>
      </c>
      <c r="AE80" s="20">
        <v>15938</v>
      </c>
      <c r="AF80" s="20" t="s">
        <v>35</v>
      </c>
      <c r="AG80" s="20">
        <v>3.3</v>
      </c>
      <c r="AH80" s="20">
        <v>7.36</v>
      </c>
      <c r="AI80" s="20">
        <v>2.23</v>
      </c>
      <c r="AJ80" s="20">
        <v>2</v>
      </c>
      <c r="AK80" s="20">
        <v>234</v>
      </c>
      <c r="AL80" s="20">
        <v>95</v>
      </c>
      <c r="AM80" s="20">
        <v>69</v>
      </c>
      <c r="AN80" s="20">
        <v>236</v>
      </c>
      <c r="AP80" s="20">
        <v>5455</v>
      </c>
      <c r="AQ80" s="20">
        <v>14087</v>
      </c>
      <c r="AR80" s="20" t="s">
        <v>35</v>
      </c>
      <c r="AS80" s="20">
        <v>4.87</v>
      </c>
      <c r="AT80" s="20">
        <v>7.36</v>
      </c>
      <c r="AU80" s="20">
        <v>1.51</v>
      </c>
      <c r="AV80" s="20">
        <v>1</v>
      </c>
      <c r="AW80" s="20">
        <v>107</v>
      </c>
      <c r="AX80" s="20">
        <v>48</v>
      </c>
      <c r="AY80" s="20">
        <v>13</v>
      </c>
      <c r="AZ80" s="20">
        <v>309</v>
      </c>
      <c r="BA80" s="20">
        <v>5425</v>
      </c>
      <c r="BB80" s="20">
        <v>13749</v>
      </c>
      <c r="BC80" s="20" t="s">
        <v>35</v>
      </c>
      <c r="BD80" s="20">
        <v>2.11</v>
      </c>
      <c r="BE80" s="20">
        <v>7.36</v>
      </c>
      <c r="BF80" s="20">
        <v>3.48</v>
      </c>
      <c r="BG80" s="20">
        <v>4</v>
      </c>
      <c r="BH80" s="20">
        <v>421</v>
      </c>
      <c r="BI80" s="20">
        <v>156</v>
      </c>
      <c r="BJ80" s="20">
        <v>16</v>
      </c>
      <c r="BK80" s="20">
        <v>189</v>
      </c>
    </row>
    <row r="81" spans="14:63" x14ac:dyDescent="0.25">
      <c r="N81" s="20">
        <v>5</v>
      </c>
      <c r="O81" s="20">
        <v>28</v>
      </c>
      <c r="P81" s="20">
        <v>1</v>
      </c>
      <c r="Q81" s="20">
        <v>7.36</v>
      </c>
      <c r="R81" s="20">
        <v>5</v>
      </c>
      <c r="S81" s="20">
        <v>5455</v>
      </c>
      <c r="T81" s="20">
        <v>12493</v>
      </c>
      <c r="U81" s="20" t="s">
        <v>35</v>
      </c>
      <c r="V81" s="20">
        <v>4.05</v>
      </c>
      <c r="W81" s="20">
        <v>7.36</v>
      </c>
      <c r="X81" s="20">
        <v>1.82</v>
      </c>
      <c r="Y81" s="20">
        <v>2</v>
      </c>
      <c r="Z81" s="20">
        <v>196</v>
      </c>
      <c r="AA81" s="20">
        <v>67</v>
      </c>
      <c r="AB81" s="20">
        <v>1</v>
      </c>
      <c r="AC81" s="20">
        <v>221</v>
      </c>
      <c r="AD81" s="20">
        <v>5455</v>
      </c>
      <c r="AE81" s="20">
        <v>13916</v>
      </c>
      <c r="AF81" s="20" t="s">
        <v>35</v>
      </c>
      <c r="AG81" s="20">
        <v>3.03</v>
      </c>
      <c r="AH81" s="20">
        <v>7.36</v>
      </c>
      <c r="AI81" s="20">
        <v>2.4300000000000002</v>
      </c>
      <c r="AJ81" s="20">
        <v>3</v>
      </c>
      <c r="AK81" s="20">
        <v>318</v>
      </c>
      <c r="AL81" s="20">
        <v>105</v>
      </c>
      <c r="AM81" s="20">
        <v>26</v>
      </c>
      <c r="AN81" s="20">
        <v>201</v>
      </c>
      <c r="AP81" s="20">
        <v>5455</v>
      </c>
      <c r="AQ81" s="20">
        <v>15531</v>
      </c>
      <c r="AR81" s="20" t="s">
        <v>35</v>
      </c>
      <c r="AS81" s="20">
        <v>4.91</v>
      </c>
      <c r="AT81" s="20">
        <v>7.36</v>
      </c>
      <c r="AU81" s="20">
        <v>1.5</v>
      </c>
      <c r="AV81" s="20">
        <v>1</v>
      </c>
      <c r="AW81" s="20">
        <v>115</v>
      </c>
      <c r="AX81" s="20">
        <v>46</v>
      </c>
      <c r="AY81" s="20">
        <v>29</v>
      </c>
      <c r="AZ81" s="20">
        <v>357</v>
      </c>
      <c r="BA81" s="20">
        <v>5410</v>
      </c>
      <c r="BB81" s="20">
        <v>12973</v>
      </c>
      <c r="BC81" s="20" t="s">
        <v>35</v>
      </c>
      <c r="BD81" s="20">
        <v>2.11</v>
      </c>
      <c r="BE81" s="20">
        <v>7.36</v>
      </c>
      <c r="BF81" s="20">
        <v>3.48</v>
      </c>
      <c r="BG81" s="20">
        <v>5</v>
      </c>
      <c r="BH81" s="20">
        <v>504</v>
      </c>
      <c r="BI81" s="20">
        <v>158</v>
      </c>
      <c r="BJ81" s="20">
        <v>2</v>
      </c>
      <c r="BK81" s="20">
        <v>176</v>
      </c>
    </row>
    <row r="82" spans="14:63" x14ac:dyDescent="0.25">
      <c r="N82" s="20">
        <v>6</v>
      </c>
      <c r="O82" s="20">
        <v>32</v>
      </c>
      <c r="P82" s="20">
        <v>1</v>
      </c>
      <c r="Q82" s="20">
        <v>7.36</v>
      </c>
      <c r="R82" s="20">
        <v>6</v>
      </c>
      <c r="S82" s="20">
        <v>5455</v>
      </c>
      <c r="T82" s="20">
        <v>13955</v>
      </c>
      <c r="U82" s="20" t="s">
        <v>35</v>
      </c>
      <c r="V82" s="20">
        <v>4.08</v>
      </c>
      <c r="W82" s="20">
        <v>7.36</v>
      </c>
      <c r="X82" s="20">
        <v>1.81</v>
      </c>
      <c r="Y82" s="20">
        <v>2</v>
      </c>
      <c r="Z82" s="20">
        <v>213</v>
      </c>
      <c r="AA82" s="20">
        <v>66</v>
      </c>
      <c r="AB82" s="20">
        <v>32</v>
      </c>
      <c r="AC82" s="20">
        <v>250</v>
      </c>
      <c r="AD82" s="20">
        <v>5455</v>
      </c>
      <c r="AE82" s="20">
        <v>15529</v>
      </c>
      <c r="AF82" s="20" t="s">
        <v>35</v>
      </c>
      <c r="AG82" s="20">
        <v>3.07</v>
      </c>
      <c r="AH82" s="20">
        <v>7.36</v>
      </c>
      <c r="AI82" s="20">
        <v>2.4</v>
      </c>
      <c r="AJ82" s="20">
        <v>3</v>
      </c>
      <c r="AK82" s="20">
        <v>345</v>
      </c>
      <c r="AL82" s="20">
        <v>103</v>
      </c>
      <c r="AM82" s="20">
        <v>51</v>
      </c>
      <c r="AN82" s="20">
        <v>226</v>
      </c>
      <c r="AP82" s="20">
        <v>5320</v>
      </c>
      <c r="AQ82" s="20">
        <v>15918</v>
      </c>
      <c r="AR82" s="20" t="s">
        <v>35</v>
      </c>
      <c r="AS82" s="20">
        <v>5.08</v>
      </c>
      <c r="AT82" s="20">
        <v>7.36</v>
      </c>
      <c r="AU82" s="20">
        <v>1.45</v>
      </c>
      <c r="AV82" s="20">
        <v>1</v>
      </c>
      <c r="AW82" s="20">
        <v>117</v>
      </c>
      <c r="AX82" s="20">
        <v>42</v>
      </c>
      <c r="AY82" s="20">
        <v>45</v>
      </c>
      <c r="AZ82" s="20">
        <v>393</v>
      </c>
      <c r="BA82" s="20">
        <v>5440</v>
      </c>
      <c r="BB82" s="20">
        <v>14536</v>
      </c>
      <c r="BC82" s="20" t="s">
        <v>35</v>
      </c>
      <c r="BD82" s="20">
        <v>2.11</v>
      </c>
      <c r="BE82" s="20">
        <v>7.36</v>
      </c>
      <c r="BF82" s="20">
        <v>3.48</v>
      </c>
      <c r="BG82" s="20">
        <v>5</v>
      </c>
      <c r="BH82" s="20">
        <v>547</v>
      </c>
      <c r="BI82" s="20">
        <v>155</v>
      </c>
      <c r="BJ82" s="20">
        <v>31</v>
      </c>
      <c r="BK82" s="20">
        <v>202</v>
      </c>
    </row>
    <row r="83" spans="14:63" x14ac:dyDescent="0.25">
      <c r="N83" s="20">
        <v>7</v>
      </c>
      <c r="O83" s="20">
        <v>36</v>
      </c>
      <c r="P83" s="20">
        <v>1</v>
      </c>
      <c r="Q83" s="20">
        <v>7.36</v>
      </c>
      <c r="R83" s="20">
        <v>7</v>
      </c>
      <c r="S83" s="20">
        <v>5455</v>
      </c>
      <c r="T83" s="20">
        <v>14816</v>
      </c>
      <c r="U83" s="20" t="s">
        <v>35</v>
      </c>
      <c r="V83" s="20">
        <v>4.13</v>
      </c>
      <c r="W83" s="20">
        <v>7.36</v>
      </c>
      <c r="X83" s="20">
        <v>1.78</v>
      </c>
      <c r="Y83" s="20">
        <v>2</v>
      </c>
      <c r="Z83" s="20">
        <v>222</v>
      </c>
      <c r="AA83" s="20">
        <v>62</v>
      </c>
      <c r="AB83" s="20">
        <v>62</v>
      </c>
      <c r="AC83" s="20">
        <v>278</v>
      </c>
      <c r="AD83" s="20">
        <v>5455</v>
      </c>
      <c r="AE83" s="20">
        <v>13516</v>
      </c>
      <c r="AF83" s="20" t="s">
        <v>35</v>
      </c>
      <c r="AG83" s="20">
        <v>3.02</v>
      </c>
      <c r="AH83" s="20">
        <v>7.36</v>
      </c>
      <c r="AI83" s="20">
        <v>2.4300000000000002</v>
      </c>
      <c r="AJ83" s="20">
        <v>4</v>
      </c>
      <c r="AK83" s="20">
        <v>415</v>
      </c>
      <c r="AL83" s="20">
        <v>106</v>
      </c>
      <c r="AM83" s="20">
        <v>19</v>
      </c>
      <c r="AN83" s="20">
        <v>194</v>
      </c>
      <c r="AP83" s="20">
        <v>5185</v>
      </c>
      <c r="AQ83" s="20">
        <v>15935</v>
      </c>
      <c r="AR83" s="20" t="s">
        <v>35</v>
      </c>
      <c r="AS83" s="20">
        <v>5.27</v>
      </c>
      <c r="AT83" s="20">
        <v>7.36</v>
      </c>
      <c r="AU83" s="20">
        <v>1.4</v>
      </c>
      <c r="AV83" s="20">
        <v>1</v>
      </c>
      <c r="AW83" s="20">
        <v>117</v>
      </c>
      <c r="AX83" s="20">
        <v>39</v>
      </c>
      <c r="AY83" s="20">
        <v>60</v>
      </c>
      <c r="AZ83" s="20">
        <v>424</v>
      </c>
      <c r="BA83" s="20">
        <v>5440</v>
      </c>
      <c r="BB83" s="20">
        <v>15958</v>
      </c>
      <c r="BC83" s="20" t="s">
        <v>35</v>
      </c>
      <c r="BD83" s="20">
        <v>2.14</v>
      </c>
      <c r="BE83" s="20">
        <v>7.36</v>
      </c>
      <c r="BF83" s="20">
        <v>3.43</v>
      </c>
      <c r="BG83" s="20">
        <v>5</v>
      </c>
      <c r="BH83" s="20">
        <v>587</v>
      </c>
      <c r="BI83" s="20">
        <v>151</v>
      </c>
      <c r="BJ83" s="20">
        <v>56</v>
      </c>
      <c r="BK83" s="20">
        <v>223</v>
      </c>
    </row>
    <row r="84" spans="14:63" x14ac:dyDescent="0.25">
      <c r="N84" s="20">
        <v>8</v>
      </c>
      <c r="O84" s="20">
        <v>40</v>
      </c>
      <c r="P84" s="20">
        <v>1</v>
      </c>
      <c r="Q84" s="20">
        <v>7.36</v>
      </c>
      <c r="R84" s="20">
        <v>8</v>
      </c>
      <c r="S84" s="20">
        <v>5335</v>
      </c>
      <c r="T84" s="20">
        <v>15988</v>
      </c>
      <c r="U84" s="20" t="s">
        <v>35</v>
      </c>
      <c r="V84" s="20">
        <v>4.29</v>
      </c>
      <c r="W84" s="20">
        <v>7.36</v>
      </c>
      <c r="X84" s="20">
        <v>1.71</v>
      </c>
      <c r="Y84" s="20">
        <v>2</v>
      </c>
      <c r="Z84" s="20">
        <v>235</v>
      </c>
      <c r="AA84" s="20">
        <v>61</v>
      </c>
      <c r="AB84" s="20">
        <v>88</v>
      </c>
      <c r="AC84" s="20">
        <v>295</v>
      </c>
      <c r="AD84" s="20">
        <v>5455</v>
      </c>
      <c r="AE84" s="20">
        <v>14724</v>
      </c>
      <c r="AF84" s="20" t="s">
        <v>35</v>
      </c>
      <c r="AG84" s="20">
        <v>3.05</v>
      </c>
      <c r="AH84" s="20">
        <v>7.36</v>
      </c>
      <c r="AI84" s="20">
        <v>2.42</v>
      </c>
      <c r="AJ84" s="20">
        <v>4</v>
      </c>
      <c r="AK84" s="20">
        <v>442</v>
      </c>
      <c r="AL84" s="20">
        <v>104</v>
      </c>
      <c r="AM84" s="20">
        <v>38</v>
      </c>
      <c r="AN84" s="20">
        <v>214</v>
      </c>
      <c r="AP84" s="20">
        <v>5110</v>
      </c>
      <c r="AQ84" s="20">
        <v>15954</v>
      </c>
      <c r="AR84" s="20" t="s">
        <v>35</v>
      </c>
      <c r="AS84" s="20">
        <v>5.46</v>
      </c>
      <c r="AT84" s="20">
        <v>7.36</v>
      </c>
      <c r="AU84" s="20">
        <v>1.35</v>
      </c>
      <c r="AV84" s="20">
        <v>1</v>
      </c>
      <c r="AW84" s="20">
        <v>117</v>
      </c>
      <c r="AX84" s="20">
        <v>36</v>
      </c>
      <c r="AY84" s="20">
        <v>73</v>
      </c>
      <c r="AZ84" s="20">
        <v>453</v>
      </c>
      <c r="BA84" s="20">
        <v>5200</v>
      </c>
      <c r="BB84" s="20">
        <v>15987</v>
      </c>
      <c r="BC84" s="20" t="s">
        <v>35</v>
      </c>
      <c r="BD84" s="20">
        <v>2.37</v>
      </c>
      <c r="BE84" s="20">
        <v>7.36</v>
      </c>
      <c r="BF84" s="20">
        <v>3.11</v>
      </c>
      <c r="BG84" s="20">
        <v>5</v>
      </c>
      <c r="BH84" s="20">
        <v>587</v>
      </c>
      <c r="BI84" s="20">
        <v>137</v>
      </c>
      <c r="BJ84" s="20">
        <v>68</v>
      </c>
      <c r="BK84" s="20">
        <v>223</v>
      </c>
    </row>
    <row r="85" spans="14:63" x14ac:dyDescent="0.25">
      <c r="N85" s="20">
        <v>9</v>
      </c>
      <c r="O85" s="20">
        <v>44</v>
      </c>
      <c r="P85" s="20">
        <v>1</v>
      </c>
      <c r="Q85" s="20">
        <v>7.36</v>
      </c>
      <c r="S85" s="20">
        <v>5455</v>
      </c>
      <c r="T85" s="20">
        <v>13135</v>
      </c>
      <c r="U85" s="20" t="s">
        <v>35</v>
      </c>
      <c r="V85" s="20">
        <v>4.05</v>
      </c>
      <c r="W85" s="20">
        <v>7.36</v>
      </c>
      <c r="X85" s="20">
        <v>1.82</v>
      </c>
      <c r="Y85" s="20">
        <v>3</v>
      </c>
      <c r="Z85" s="20">
        <v>305</v>
      </c>
      <c r="AA85" s="20">
        <v>67</v>
      </c>
      <c r="AB85" s="20">
        <v>12</v>
      </c>
      <c r="AC85" s="20">
        <v>231</v>
      </c>
      <c r="AD85" s="20">
        <v>5455</v>
      </c>
      <c r="AE85" s="20">
        <v>13278</v>
      </c>
      <c r="AF85" s="20" t="s">
        <v>35</v>
      </c>
      <c r="AG85" s="20">
        <v>3.02</v>
      </c>
      <c r="AH85" s="20">
        <v>7.36</v>
      </c>
      <c r="AI85" s="20">
        <v>2.44</v>
      </c>
      <c r="AJ85" s="20">
        <v>5</v>
      </c>
      <c r="AK85" s="20">
        <v>513</v>
      </c>
      <c r="AL85" s="20">
        <v>106</v>
      </c>
      <c r="AM85" s="20">
        <v>15</v>
      </c>
      <c r="AN85" s="20">
        <v>190</v>
      </c>
      <c r="AP85" s="20">
        <v>5455</v>
      </c>
      <c r="AQ85" s="20">
        <v>13294</v>
      </c>
      <c r="AR85" s="20" t="s">
        <v>35</v>
      </c>
      <c r="AS85" s="20">
        <v>4.8600000000000003</v>
      </c>
      <c r="AT85" s="20">
        <v>7.36</v>
      </c>
      <c r="AU85" s="20">
        <v>1.52</v>
      </c>
      <c r="AV85" s="20">
        <v>2</v>
      </c>
      <c r="AW85" s="20">
        <v>205</v>
      </c>
      <c r="AX85" s="20">
        <v>49</v>
      </c>
      <c r="AY85" s="20">
        <v>4</v>
      </c>
      <c r="AZ85" s="20">
        <v>284</v>
      </c>
      <c r="BA85" s="20">
        <v>4990</v>
      </c>
      <c r="BB85" s="20">
        <v>15947</v>
      </c>
      <c r="BC85" s="20" t="s">
        <v>35</v>
      </c>
      <c r="BD85" s="20">
        <v>2.6</v>
      </c>
      <c r="BE85" s="20">
        <v>7.36</v>
      </c>
      <c r="BF85" s="20">
        <v>2.84</v>
      </c>
      <c r="BG85" s="20">
        <v>5</v>
      </c>
      <c r="BH85" s="20">
        <v>586</v>
      </c>
      <c r="BI85" s="20">
        <v>125</v>
      </c>
      <c r="BJ85" s="20">
        <v>80</v>
      </c>
      <c r="BK85" s="20">
        <v>223</v>
      </c>
    </row>
    <row r="86" spans="14:63" x14ac:dyDescent="0.25">
      <c r="N86" s="20">
        <v>10</v>
      </c>
      <c r="O86" s="20">
        <v>48</v>
      </c>
      <c r="P86" s="20">
        <v>1</v>
      </c>
      <c r="Q86" s="20">
        <v>7.36</v>
      </c>
      <c r="S86" s="20">
        <v>5455</v>
      </c>
      <c r="T86" s="20">
        <v>13955</v>
      </c>
      <c r="U86" s="20" t="s">
        <v>35</v>
      </c>
      <c r="V86" s="20">
        <v>4.08</v>
      </c>
      <c r="W86" s="20">
        <v>7.36</v>
      </c>
      <c r="X86" s="20">
        <v>1.81</v>
      </c>
      <c r="Y86" s="20">
        <v>3</v>
      </c>
      <c r="Z86" s="20">
        <v>319</v>
      </c>
      <c r="AA86" s="20">
        <v>66</v>
      </c>
      <c r="AB86" s="20">
        <v>32</v>
      </c>
      <c r="AC86" s="20">
        <v>250</v>
      </c>
      <c r="AD86" s="20">
        <v>5455</v>
      </c>
      <c r="AE86" s="20">
        <v>14238</v>
      </c>
      <c r="AF86" s="20" t="s">
        <v>35</v>
      </c>
      <c r="AG86" s="20">
        <v>3.04</v>
      </c>
      <c r="AH86" s="20">
        <v>7.36</v>
      </c>
      <c r="AI86" s="20">
        <v>2.42</v>
      </c>
      <c r="AJ86" s="20">
        <v>5</v>
      </c>
      <c r="AK86" s="20">
        <v>539</v>
      </c>
      <c r="AL86" s="20">
        <v>104</v>
      </c>
      <c r="AM86" s="20">
        <v>31</v>
      </c>
      <c r="AN86" s="20">
        <v>206</v>
      </c>
      <c r="AP86" s="20">
        <v>5455</v>
      </c>
      <c r="AQ86" s="20">
        <v>14087</v>
      </c>
      <c r="AR86" s="20" t="s">
        <v>35</v>
      </c>
      <c r="AS86" s="20">
        <v>4.87</v>
      </c>
      <c r="AT86" s="20">
        <v>7.36</v>
      </c>
      <c r="AU86" s="20">
        <v>1.51</v>
      </c>
      <c r="AV86" s="20">
        <v>2</v>
      </c>
      <c r="AW86" s="20">
        <v>214</v>
      </c>
      <c r="AX86" s="20">
        <v>48</v>
      </c>
      <c r="AY86" s="20">
        <v>13</v>
      </c>
      <c r="AZ86" s="20">
        <v>309</v>
      </c>
      <c r="BA86" s="20">
        <v>4825</v>
      </c>
      <c r="BB86" s="20">
        <v>15952</v>
      </c>
      <c r="BC86" s="20" t="s">
        <v>35</v>
      </c>
      <c r="BD86" s="20">
        <v>2.81</v>
      </c>
      <c r="BE86" s="20">
        <v>7.36</v>
      </c>
      <c r="BF86" s="20">
        <v>2.62</v>
      </c>
      <c r="BG86" s="20">
        <v>5</v>
      </c>
      <c r="BH86" s="20">
        <v>586</v>
      </c>
      <c r="BI86" s="20">
        <v>116</v>
      </c>
      <c r="BJ86" s="20">
        <v>91</v>
      </c>
      <c r="BK86" s="20">
        <v>224</v>
      </c>
    </row>
    <row r="87" spans="14:63" x14ac:dyDescent="0.25">
      <c r="N87" s="20">
        <v>11</v>
      </c>
      <c r="O87" s="20">
        <v>52</v>
      </c>
      <c r="P87" s="20">
        <v>1</v>
      </c>
      <c r="Q87" s="20">
        <v>7.36</v>
      </c>
      <c r="S87" s="20">
        <v>5455</v>
      </c>
      <c r="T87" s="20">
        <v>14497</v>
      </c>
      <c r="U87" s="20" t="s">
        <v>35</v>
      </c>
      <c r="V87" s="20">
        <v>4.1100000000000003</v>
      </c>
      <c r="W87" s="20">
        <v>7.36</v>
      </c>
      <c r="X87" s="20">
        <v>1.79</v>
      </c>
      <c r="Y87" s="20">
        <v>3</v>
      </c>
      <c r="Z87" s="20">
        <v>328</v>
      </c>
      <c r="AA87" s="20">
        <v>63</v>
      </c>
      <c r="AB87" s="20">
        <v>52</v>
      </c>
      <c r="AC87" s="20">
        <v>269</v>
      </c>
      <c r="AD87" s="20">
        <v>5455</v>
      </c>
      <c r="AE87" s="20">
        <v>15207</v>
      </c>
      <c r="AF87" s="20" t="s">
        <v>35</v>
      </c>
      <c r="AG87" s="20">
        <v>3.06</v>
      </c>
      <c r="AH87" s="20">
        <v>7.36</v>
      </c>
      <c r="AI87" s="20">
        <v>2.4</v>
      </c>
      <c r="AJ87" s="20">
        <v>5</v>
      </c>
      <c r="AK87" s="20">
        <v>566</v>
      </c>
      <c r="AL87" s="20">
        <v>103</v>
      </c>
      <c r="AM87" s="20">
        <v>46</v>
      </c>
      <c r="AN87" s="20">
        <v>221</v>
      </c>
      <c r="AP87" s="20">
        <v>5455</v>
      </c>
      <c r="AQ87" s="20">
        <v>14832</v>
      </c>
      <c r="AR87" s="20" t="s">
        <v>35</v>
      </c>
      <c r="AS87" s="20">
        <v>4.88</v>
      </c>
      <c r="AT87" s="20">
        <v>7.36</v>
      </c>
      <c r="AU87" s="20">
        <v>1.51</v>
      </c>
      <c r="AV87" s="20">
        <v>2</v>
      </c>
      <c r="AW87" s="20">
        <v>222</v>
      </c>
      <c r="AX87" s="20">
        <v>47</v>
      </c>
      <c r="AY87" s="20">
        <v>21</v>
      </c>
      <c r="AZ87" s="20">
        <v>334</v>
      </c>
      <c r="BA87" s="20">
        <v>4690</v>
      </c>
      <c r="BB87" s="20">
        <v>15997</v>
      </c>
      <c r="BC87" s="20" t="s">
        <v>35</v>
      </c>
      <c r="BD87" s="20">
        <v>3.02</v>
      </c>
      <c r="BE87" s="20">
        <v>7.41</v>
      </c>
      <c r="BF87" s="20">
        <v>2.4500000000000002</v>
      </c>
      <c r="BG87" s="20">
        <v>5</v>
      </c>
      <c r="BH87" s="20">
        <v>588</v>
      </c>
      <c r="BI87" s="20">
        <v>108</v>
      </c>
      <c r="BJ87" s="20">
        <v>100</v>
      </c>
      <c r="BK87" s="20">
        <v>225</v>
      </c>
    </row>
    <row r="88" spans="14:63" x14ac:dyDescent="0.25">
      <c r="N88" s="20">
        <v>12</v>
      </c>
      <c r="O88" s="20">
        <v>56</v>
      </c>
      <c r="P88" s="20">
        <v>1</v>
      </c>
      <c r="Q88" s="20">
        <v>7.36</v>
      </c>
      <c r="S88" s="20">
        <v>5455</v>
      </c>
      <c r="T88" s="20">
        <v>12493</v>
      </c>
      <c r="U88" s="20" t="s">
        <v>35</v>
      </c>
      <c r="V88" s="20">
        <v>4.05</v>
      </c>
      <c r="W88" s="20">
        <v>7.36</v>
      </c>
      <c r="X88" s="20">
        <v>1.82</v>
      </c>
      <c r="Y88" s="20">
        <v>4</v>
      </c>
      <c r="Z88" s="20">
        <v>393</v>
      </c>
      <c r="AA88" s="20">
        <v>67</v>
      </c>
      <c r="AB88" s="20">
        <v>1</v>
      </c>
      <c r="AC88" s="20">
        <v>221</v>
      </c>
      <c r="AD88" s="20">
        <v>5425</v>
      </c>
      <c r="AE88" s="20">
        <v>15994</v>
      </c>
      <c r="AF88" s="20" t="s">
        <v>35</v>
      </c>
      <c r="AG88" s="20">
        <v>3.12</v>
      </c>
      <c r="AH88" s="20">
        <v>7.36</v>
      </c>
      <c r="AI88" s="20">
        <v>2.36</v>
      </c>
      <c r="AJ88" s="20">
        <v>5</v>
      </c>
      <c r="AK88" s="20">
        <v>587</v>
      </c>
      <c r="AL88" s="20">
        <v>101</v>
      </c>
      <c r="AM88" s="20">
        <v>59</v>
      </c>
      <c r="AN88" s="20">
        <v>234</v>
      </c>
      <c r="AP88" s="20">
        <v>5455</v>
      </c>
      <c r="AQ88" s="20">
        <v>15531</v>
      </c>
      <c r="AR88" s="20" t="s">
        <v>35</v>
      </c>
      <c r="AS88" s="20">
        <v>4.91</v>
      </c>
      <c r="AT88" s="20">
        <v>7.36</v>
      </c>
      <c r="AU88" s="20">
        <v>1.5</v>
      </c>
      <c r="AV88" s="20">
        <v>2</v>
      </c>
      <c r="AW88" s="20">
        <v>230</v>
      </c>
      <c r="AX88" s="20">
        <v>46</v>
      </c>
      <c r="AY88" s="20">
        <v>29</v>
      </c>
      <c r="AZ88" s="20">
        <v>357</v>
      </c>
      <c r="BA88" s="20">
        <v>4510</v>
      </c>
      <c r="BB88" s="20">
        <v>15929</v>
      </c>
      <c r="BC88" s="20" t="s">
        <v>35</v>
      </c>
      <c r="BD88" s="20">
        <v>3.36</v>
      </c>
      <c r="BE88" s="20">
        <v>7.79</v>
      </c>
      <c r="BF88" s="20">
        <v>2.3199999999999998</v>
      </c>
      <c r="BG88" s="20">
        <v>5</v>
      </c>
      <c r="BH88" s="20">
        <v>586</v>
      </c>
      <c r="BI88" s="20">
        <v>101</v>
      </c>
      <c r="BJ88" s="20">
        <v>100</v>
      </c>
      <c r="BK88" s="20">
        <v>216</v>
      </c>
    </row>
    <row r="89" spans="14:63" x14ac:dyDescent="0.25">
      <c r="N89" s="20">
        <v>13</v>
      </c>
      <c r="O89" s="20">
        <v>60</v>
      </c>
      <c r="P89" s="20">
        <v>1</v>
      </c>
      <c r="Q89" s="20">
        <v>7.36</v>
      </c>
      <c r="S89" s="20">
        <v>5455</v>
      </c>
      <c r="T89" s="20">
        <v>13390</v>
      </c>
      <c r="U89" s="20" t="s">
        <v>35</v>
      </c>
      <c r="V89" s="20">
        <v>4.0599999999999996</v>
      </c>
      <c r="W89" s="20">
        <v>7.36</v>
      </c>
      <c r="X89" s="20">
        <v>1.81</v>
      </c>
      <c r="Y89" s="20">
        <v>4</v>
      </c>
      <c r="Z89" s="20">
        <v>413</v>
      </c>
      <c r="AA89" s="20">
        <v>67</v>
      </c>
      <c r="AB89" s="20">
        <v>17</v>
      </c>
      <c r="AC89" s="20">
        <v>236</v>
      </c>
      <c r="AD89" s="20">
        <v>5260</v>
      </c>
      <c r="AE89" s="20">
        <v>15938</v>
      </c>
      <c r="AF89" s="20" t="s">
        <v>35</v>
      </c>
      <c r="AG89" s="20">
        <v>3.3</v>
      </c>
      <c r="AH89" s="20">
        <v>7.36</v>
      </c>
      <c r="AI89" s="20">
        <v>2.23</v>
      </c>
      <c r="AJ89" s="20">
        <v>5</v>
      </c>
      <c r="AK89" s="20">
        <v>586</v>
      </c>
      <c r="AL89" s="20">
        <v>95</v>
      </c>
      <c r="AM89" s="20">
        <v>69</v>
      </c>
      <c r="AN89" s="20">
        <v>236</v>
      </c>
      <c r="AP89" s="20">
        <v>5425</v>
      </c>
      <c r="AQ89" s="20">
        <v>15998</v>
      </c>
      <c r="AR89" s="20" t="s">
        <v>35</v>
      </c>
      <c r="AS89" s="20">
        <v>4.96</v>
      </c>
      <c r="AT89" s="20">
        <v>7.36</v>
      </c>
      <c r="AU89" s="20">
        <v>1.48</v>
      </c>
      <c r="AV89" s="20">
        <v>2</v>
      </c>
      <c r="AW89" s="20">
        <v>235</v>
      </c>
      <c r="AX89" s="20">
        <v>44</v>
      </c>
      <c r="AY89" s="20">
        <v>37</v>
      </c>
      <c r="AZ89" s="20">
        <v>378</v>
      </c>
      <c r="BA89" s="20" t="s">
        <v>45</v>
      </c>
    </row>
    <row r="90" spans="14:63" x14ac:dyDescent="0.25">
      <c r="N90" s="20">
        <v>14</v>
      </c>
      <c r="O90" s="20">
        <v>64</v>
      </c>
      <c r="P90" s="20">
        <v>1</v>
      </c>
      <c r="Q90" s="20">
        <v>7.36</v>
      </c>
      <c r="S90" s="20">
        <v>5455</v>
      </c>
      <c r="T90" s="20">
        <v>13955</v>
      </c>
      <c r="U90" s="20" t="s">
        <v>35</v>
      </c>
      <c r="V90" s="20">
        <v>4.08</v>
      </c>
      <c r="W90" s="20">
        <v>7.36</v>
      </c>
      <c r="X90" s="20">
        <v>1.81</v>
      </c>
      <c r="Y90" s="20">
        <v>4</v>
      </c>
      <c r="Z90" s="20">
        <v>425</v>
      </c>
      <c r="AA90" s="20">
        <v>66</v>
      </c>
      <c r="AB90" s="20">
        <v>32</v>
      </c>
      <c r="AC90" s="20">
        <v>250</v>
      </c>
      <c r="AD90" s="20">
        <v>5125</v>
      </c>
      <c r="AE90" s="20">
        <v>15934</v>
      </c>
      <c r="AF90" s="20" t="s">
        <v>35</v>
      </c>
      <c r="AG90" s="20">
        <v>3.46</v>
      </c>
      <c r="AH90" s="20">
        <v>7.36</v>
      </c>
      <c r="AI90" s="20">
        <v>2.13</v>
      </c>
      <c r="AJ90" s="20">
        <v>5</v>
      </c>
      <c r="AK90" s="20">
        <v>586</v>
      </c>
      <c r="AL90" s="20">
        <v>90</v>
      </c>
      <c r="AM90" s="20">
        <v>78</v>
      </c>
      <c r="AN90" s="20">
        <v>239</v>
      </c>
      <c r="AP90" s="20">
        <v>5455</v>
      </c>
      <c r="AQ90" s="20">
        <v>13019</v>
      </c>
      <c r="AR90" s="20" t="s">
        <v>35</v>
      </c>
      <c r="AS90" s="20">
        <v>4.8600000000000003</v>
      </c>
      <c r="AT90" s="20">
        <v>7.36</v>
      </c>
      <c r="AU90" s="20">
        <v>1.52</v>
      </c>
      <c r="AV90" s="20">
        <v>3</v>
      </c>
      <c r="AW90" s="20">
        <v>303</v>
      </c>
      <c r="AX90" s="20">
        <v>49</v>
      </c>
      <c r="AY90" s="20">
        <v>1</v>
      </c>
      <c r="AZ90" s="20">
        <v>275</v>
      </c>
      <c r="BA90" s="20" t="s">
        <v>45</v>
      </c>
    </row>
    <row r="91" spans="14:63" x14ac:dyDescent="0.25">
      <c r="N91" s="20">
        <v>15</v>
      </c>
      <c r="O91" s="20">
        <v>68</v>
      </c>
      <c r="P91" s="20">
        <v>1</v>
      </c>
      <c r="Q91" s="20">
        <v>7.36</v>
      </c>
      <c r="S91" s="20">
        <v>5455</v>
      </c>
      <c r="T91" s="20">
        <v>14361</v>
      </c>
      <c r="U91" s="20" t="s">
        <v>35</v>
      </c>
      <c r="V91" s="20">
        <v>4.0999999999999996</v>
      </c>
      <c r="W91" s="20">
        <v>7.36</v>
      </c>
      <c r="X91" s="20">
        <v>1.8</v>
      </c>
      <c r="Y91" s="20">
        <v>4</v>
      </c>
      <c r="Z91" s="20">
        <v>434</v>
      </c>
      <c r="AA91" s="20">
        <v>64</v>
      </c>
      <c r="AB91" s="20">
        <v>47</v>
      </c>
      <c r="AC91" s="20">
        <v>264</v>
      </c>
      <c r="AD91" s="20">
        <v>5020</v>
      </c>
      <c r="AE91" s="20">
        <v>15988</v>
      </c>
      <c r="AF91" s="20" t="s">
        <v>35</v>
      </c>
      <c r="AG91" s="20">
        <v>3.6</v>
      </c>
      <c r="AH91" s="20">
        <v>7.36</v>
      </c>
      <c r="AI91" s="20">
        <v>2.04</v>
      </c>
      <c r="AJ91" s="20">
        <v>5</v>
      </c>
      <c r="AK91" s="20">
        <v>587</v>
      </c>
      <c r="AL91" s="20">
        <v>85</v>
      </c>
      <c r="AM91" s="20">
        <v>88</v>
      </c>
      <c r="AN91" s="20">
        <v>243</v>
      </c>
      <c r="AP91" s="20">
        <v>5455</v>
      </c>
      <c r="AQ91" s="20">
        <v>13564</v>
      </c>
      <c r="AR91" s="20" t="s">
        <v>35</v>
      </c>
      <c r="AS91" s="20">
        <v>4.8600000000000003</v>
      </c>
      <c r="AT91" s="20">
        <v>7.36</v>
      </c>
      <c r="AU91" s="20">
        <v>1.52</v>
      </c>
      <c r="AV91" s="20">
        <v>3</v>
      </c>
      <c r="AW91" s="20">
        <v>312</v>
      </c>
      <c r="AX91" s="20">
        <v>49</v>
      </c>
      <c r="AY91" s="20">
        <v>7</v>
      </c>
      <c r="AZ91" s="20">
        <v>292</v>
      </c>
      <c r="BA91" s="20" t="s">
        <v>45</v>
      </c>
    </row>
    <row r="92" spans="14:63" x14ac:dyDescent="0.25">
      <c r="N92" s="20">
        <v>16</v>
      </c>
      <c r="O92" s="20">
        <v>72</v>
      </c>
      <c r="P92" s="20">
        <v>1</v>
      </c>
      <c r="Q92" s="20">
        <v>7.36</v>
      </c>
      <c r="S92" s="20">
        <v>5455</v>
      </c>
      <c r="T92" s="20">
        <v>12900</v>
      </c>
      <c r="U92" s="20" t="s">
        <v>35</v>
      </c>
      <c r="V92" s="20">
        <v>4.05</v>
      </c>
      <c r="W92" s="20">
        <v>7.36</v>
      </c>
      <c r="X92" s="20">
        <v>1.82</v>
      </c>
      <c r="Y92" s="20">
        <v>5</v>
      </c>
      <c r="Z92" s="20">
        <v>502</v>
      </c>
      <c r="AA92" s="20">
        <v>67</v>
      </c>
      <c r="AB92" s="20">
        <v>7</v>
      </c>
      <c r="AC92" s="20">
        <v>227</v>
      </c>
      <c r="AD92" s="20">
        <v>4915</v>
      </c>
      <c r="AE92" s="20">
        <v>15927</v>
      </c>
      <c r="AF92" s="20" t="s">
        <v>35</v>
      </c>
      <c r="AG92" s="20">
        <v>3.76</v>
      </c>
      <c r="AH92" s="20">
        <v>7.36</v>
      </c>
      <c r="AI92" s="20">
        <v>1.96</v>
      </c>
      <c r="AJ92" s="20">
        <v>5</v>
      </c>
      <c r="AK92" s="20">
        <v>586</v>
      </c>
      <c r="AL92" s="20">
        <v>81</v>
      </c>
      <c r="AM92" s="20">
        <v>96</v>
      </c>
      <c r="AN92" s="20">
        <v>246</v>
      </c>
      <c r="AP92" s="20">
        <v>5455</v>
      </c>
      <c r="AQ92" s="20">
        <v>14087</v>
      </c>
      <c r="AR92" s="20" t="s">
        <v>35</v>
      </c>
      <c r="AS92" s="20">
        <v>4.87</v>
      </c>
      <c r="AT92" s="20">
        <v>7.36</v>
      </c>
      <c r="AU92" s="20">
        <v>1.51</v>
      </c>
      <c r="AV92" s="20">
        <v>3</v>
      </c>
      <c r="AW92" s="20">
        <v>321</v>
      </c>
      <c r="AX92" s="20">
        <v>48</v>
      </c>
      <c r="AY92" s="20">
        <v>13</v>
      </c>
      <c r="AZ92" s="20">
        <v>309</v>
      </c>
      <c r="BA92" s="20" t="s">
        <v>45</v>
      </c>
    </row>
    <row r="93" spans="14:63" x14ac:dyDescent="0.25">
      <c r="N93" s="20">
        <v>17</v>
      </c>
      <c r="O93" s="20">
        <v>76</v>
      </c>
      <c r="P93" s="20">
        <v>1</v>
      </c>
      <c r="Q93" s="20">
        <v>7.36</v>
      </c>
      <c r="S93" s="20">
        <v>5455</v>
      </c>
      <c r="T93" s="20">
        <v>13525</v>
      </c>
      <c r="U93" s="20" t="s">
        <v>35</v>
      </c>
      <c r="V93" s="20">
        <v>4.0599999999999996</v>
      </c>
      <c r="W93" s="20">
        <v>7.36</v>
      </c>
      <c r="X93" s="20">
        <v>1.81</v>
      </c>
      <c r="Y93" s="20">
        <v>5</v>
      </c>
      <c r="Z93" s="20">
        <v>519</v>
      </c>
      <c r="AA93" s="20">
        <v>67</v>
      </c>
      <c r="AB93" s="20">
        <v>20</v>
      </c>
      <c r="AC93" s="20">
        <v>239</v>
      </c>
      <c r="AD93" s="20">
        <v>4810</v>
      </c>
      <c r="AE93" s="20">
        <v>15946</v>
      </c>
      <c r="AF93" s="20" t="s">
        <v>35</v>
      </c>
      <c r="AG93" s="20">
        <v>3.98</v>
      </c>
      <c r="AH93" s="20">
        <v>7.55</v>
      </c>
      <c r="AI93" s="20">
        <v>1.9</v>
      </c>
      <c r="AJ93" s="20">
        <v>5</v>
      </c>
      <c r="AK93" s="20">
        <v>586</v>
      </c>
      <c r="AL93" s="20">
        <v>78</v>
      </c>
      <c r="AM93" s="20">
        <v>100</v>
      </c>
      <c r="AN93" s="20">
        <v>244</v>
      </c>
      <c r="AP93" s="20">
        <v>5455</v>
      </c>
      <c r="AQ93" s="20">
        <v>14589</v>
      </c>
      <c r="AR93" s="20" t="s">
        <v>35</v>
      </c>
      <c r="AS93" s="20">
        <v>4.88</v>
      </c>
      <c r="AT93" s="20">
        <v>7.36</v>
      </c>
      <c r="AU93" s="20">
        <v>1.51</v>
      </c>
      <c r="AV93" s="20">
        <v>3</v>
      </c>
      <c r="AW93" s="20">
        <v>329</v>
      </c>
      <c r="AX93" s="20">
        <v>47</v>
      </c>
      <c r="AY93" s="20">
        <v>18</v>
      </c>
      <c r="AZ93" s="20">
        <v>326</v>
      </c>
      <c r="BA93" s="20" t="s">
        <v>45</v>
      </c>
    </row>
    <row r="94" spans="14:63" x14ac:dyDescent="0.25">
      <c r="N94" s="20">
        <v>18</v>
      </c>
      <c r="O94" s="20">
        <v>80</v>
      </c>
      <c r="P94" s="20">
        <v>1</v>
      </c>
      <c r="Q94" s="20">
        <v>7.36</v>
      </c>
      <c r="S94" s="20">
        <v>5455</v>
      </c>
      <c r="T94" s="20">
        <v>13955</v>
      </c>
      <c r="U94" s="20" t="s">
        <v>35</v>
      </c>
      <c r="V94" s="20">
        <v>4.08</v>
      </c>
      <c r="W94" s="20">
        <v>7.36</v>
      </c>
      <c r="X94" s="20">
        <v>1.81</v>
      </c>
      <c r="Y94" s="20">
        <v>5</v>
      </c>
      <c r="Z94" s="20">
        <v>531</v>
      </c>
      <c r="AA94" s="20">
        <v>66</v>
      </c>
      <c r="AB94" s="20">
        <v>32</v>
      </c>
      <c r="AC94" s="20">
        <v>250</v>
      </c>
      <c r="AD94" s="20" t="s">
        <v>45</v>
      </c>
      <c r="AP94" s="20">
        <v>5455</v>
      </c>
      <c r="AQ94" s="20">
        <v>15071</v>
      </c>
      <c r="AR94" s="20" t="s">
        <v>35</v>
      </c>
      <c r="AS94" s="20">
        <v>4.8899999999999997</v>
      </c>
      <c r="AT94" s="20">
        <v>7.36</v>
      </c>
      <c r="AU94" s="20">
        <v>1.51</v>
      </c>
      <c r="AV94" s="20">
        <v>3</v>
      </c>
      <c r="AW94" s="20">
        <v>337</v>
      </c>
      <c r="AX94" s="20">
        <v>46</v>
      </c>
      <c r="AY94" s="20">
        <v>24</v>
      </c>
      <c r="AZ94" s="20">
        <v>342</v>
      </c>
      <c r="BA94" s="20" t="s">
        <v>45</v>
      </c>
    </row>
    <row r="95" spans="14:63" x14ac:dyDescent="0.25">
      <c r="N95" s="20">
        <v>18</v>
      </c>
      <c r="O95" s="20">
        <v>100</v>
      </c>
      <c r="P95" s="20">
        <v>1</v>
      </c>
      <c r="Q95" s="20">
        <v>7.36</v>
      </c>
      <c r="S95" s="20">
        <v>5335</v>
      </c>
      <c r="T95" s="20">
        <v>15988</v>
      </c>
      <c r="U95" s="20" t="s">
        <v>35</v>
      </c>
      <c r="V95" s="20">
        <v>4.29</v>
      </c>
      <c r="W95" s="20">
        <v>7.36</v>
      </c>
      <c r="X95" s="20">
        <v>1.71</v>
      </c>
      <c r="Y95" s="20">
        <v>5</v>
      </c>
      <c r="Z95" s="20">
        <v>587</v>
      </c>
      <c r="AA95" s="20">
        <v>61</v>
      </c>
      <c r="AB95" s="20">
        <v>88</v>
      </c>
      <c r="AC95" s="20">
        <v>295</v>
      </c>
      <c r="AD95" s="20" t="s">
        <v>45</v>
      </c>
      <c r="AP95" s="20">
        <v>5455</v>
      </c>
      <c r="AQ95" s="20">
        <v>14465</v>
      </c>
      <c r="AR95" s="20" t="s">
        <v>35</v>
      </c>
      <c r="AS95" s="20">
        <v>4.87</v>
      </c>
      <c r="AT95" s="20">
        <v>7.36</v>
      </c>
      <c r="AU95" s="20">
        <v>1.51</v>
      </c>
      <c r="AV95" s="20">
        <v>4</v>
      </c>
      <c r="AW95" s="20">
        <v>436</v>
      </c>
      <c r="AX95" s="20">
        <v>47</v>
      </c>
      <c r="AY95" s="20">
        <v>17</v>
      </c>
      <c r="AZ95" s="20">
        <v>322</v>
      </c>
      <c r="BA95" s="20" t="s">
        <v>45</v>
      </c>
    </row>
    <row r="96" spans="14:63" x14ac:dyDescent="0.25">
      <c r="N96" s="20">
        <v>18</v>
      </c>
      <c r="O96" s="20">
        <v>120</v>
      </c>
      <c r="P96" s="20">
        <v>1</v>
      </c>
      <c r="Q96" s="20">
        <v>7.36</v>
      </c>
      <c r="S96" s="20" t="s">
        <v>45</v>
      </c>
      <c r="AD96" s="20" t="s">
        <v>45</v>
      </c>
      <c r="AP96" s="20">
        <v>5455</v>
      </c>
      <c r="AQ96" s="20">
        <v>14087</v>
      </c>
      <c r="AR96" s="20" t="s">
        <v>35</v>
      </c>
      <c r="AS96" s="20">
        <v>4.87</v>
      </c>
      <c r="AT96" s="20">
        <v>7.36</v>
      </c>
      <c r="AU96" s="20">
        <v>1.51</v>
      </c>
      <c r="AV96" s="20">
        <v>5</v>
      </c>
      <c r="AW96" s="20">
        <v>535</v>
      </c>
      <c r="AX96" s="20">
        <v>48</v>
      </c>
      <c r="AY96" s="20">
        <v>13</v>
      </c>
      <c r="AZ96" s="20">
        <v>309</v>
      </c>
      <c r="BA96" s="20" t="s">
        <v>45</v>
      </c>
    </row>
    <row r="97" spans="14:53" x14ac:dyDescent="0.25">
      <c r="N97" s="20">
        <v>18</v>
      </c>
      <c r="O97" s="20">
        <v>150</v>
      </c>
      <c r="P97" s="20">
        <v>1</v>
      </c>
      <c r="Q97" s="20">
        <v>7.36</v>
      </c>
      <c r="S97" s="20" t="s">
        <v>45</v>
      </c>
      <c r="AD97" s="20" t="s">
        <v>45</v>
      </c>
      <c r="AP97" s="20">
        <v>5425</v>
      </c>
      <c r="AQ97" s="20">
        <v>15998</v>
      </c>
      <c r="AR97" s="20" t="s">
        <v>35</v>
      </c>
      <c r="AS97" s="20">
        <v>4.96</v>
      </c>
      <c r="AT97" s="20">
        <v>7.36</v>
      </c>
      <c r="AU97" s="20">
        <v>1.48</v>
      </c>
      <c r="AV97" s="20">
        <v>5</v>
      </c>
      <c r="AW97" s="20">
        <v>588</v>
      </c>
      <c r="AX97" s="20">
        <v>44</v>
      </c>
      <c r="AY97" s="20">
        <v>37</v>
      </c>
      <c r="AZ97" s="20">
        <v>378</v>
      </c>
      <c r="BA97" s="20" t="s">
        <v>45</v>
      </c>
    </row>
    <row r="101" spans="14:53" x14ac:dyDescent="0.25">
      <c r="S101" s="20" t="s">
        <v>46</v>
      </c>
    </row>
    <row r="102" spans="14:53" x14ac:dyDescent="0.25">
      <c r="S102" s="20" t="s">
        <v>24</v>
      </c>
      <c r="T102" s="20" t="s">
        <v>25</v>
      </c>
      <c r="U102" s="20" t="s">
        <v>26</v>
      </c>
      <c r="V102" s="20" t="s">
        <v>27</v>
      </c>
      <c r="W102" s="20" t="s">
        <v>28</v>
      </c>
      <c r="X102" s="20" t="s">
        <v>29</v>
      </c>
      <c r="Y102" s="20" t="s">
        <v>30</v>
      </c>
      <c r="Z102" s="20" t="s">
        <v>31</v>
      </c>
      <c r="AA102" s="20" t="s">
        <v>32</v>
      </c>
      <c r="AB102" s="20" t="s">
        <v>33</v>
      </c>
      <c r="AC102" s="20" t="s">
        <v>34</v>
      </c>
    </row>
    <row r="103" spans="14:53" x14ac:dyDescent="0.25">
      <c r="N103" s="20">
        <v>1</v>
      </c>
      <c r="O103" s="20">
        <v>10</v>
      </c>
      <c r="P103" s="20">
        <v>1</v>
      </c>
      <c r="Q103" s="20">
        <v>7.36</v>
      </c>
      <c r="S103" s="20" t="s">
        <v>47</v>
      </c>
      <c r="T103" s="20" t="s">
        <v>48</v>
      </c>
      <c r="U103" s="20" t="s">
        <v>49</v>
      </c>
      <c r="V103" s="20" t="s">
        <v>50</v>
      </c>
      <c r="W103" s="20" t="s">
        <v>51</v>
      </c>
      <c r="X103" s="20" t="s">
        <v>52</v>
      </c>
      <c r="Y103" s="20" t="s">
        <v>53</v>
      </c>
      <c r="Z103" s="20" t="s">
        <v>54</v>
      </c>
      <c r="AA103" s="20" t="s">
        <v>55</v>
      </c>
      <c r="AB103" s="20" t="s">
        <v>56</v>
      </c>
      <c r="AC103" s="20" t="s">
        <v>57</v>
      </c>
    </row>
    <row r="104" spans="14:53" x14ac:dyDescent="0.25">
      <c r="N104" s="20">
        <v>2</v>
      </c>
      <c r="O104" s="20">
        <v>14</v>
      </c>
      <c r="P104" s="20">
        <v>1</v>
      </c>
      <c r="Q104" s="20">
        <v>7.36</v>
      </c>
      <c r="S104" s="20" t="s">
        <v>58</v>
      </c>
      <c r="T104" s="20" t="s">
        <v>59</v>
      </c>
      <c r="U104" s="20" t="s">
        <v>49</v>
      </c>
      <c r="V104" s="20" t="s">
        <v>60</v>
      </c>
      <c r="W104" s="20" t="s">
        <v>61</v>
      </c>
      <c r="X104" s="20" t="s">
        <v>62</v>
      </c>
      <c r="Y104" s="20" t="s">
        <v>63</v>
      </c>
      <c r="Z104" s="20" t="s">
        <v>64</v>
      </c>
      <c r="AA104" s="20" t="s">
        <v>65</v>
      </c>
      <c r="AB104" s="20" t="s">
        <v>66</v>
      </c>
      <c r="AC104" s="20" t="s">
        <v>67</v>
      </c>
    </row>
    <row r="105" spans="14:53" x14ac:dyDescent="0.25">
      <c r="N105" s="20">
        <v>3</v>
      </c>
      <c r="O105" s="20">
        <v>20</v>
      </c>
      <c r="P105" s="20">
        <v>1</v>
      </c>
      <c r="Q105" s="20">
        <v>7.36</v>
      </c>
      <c r="S105" s="20" t="s">
        <v>68</v>
      </c>
      <c r="T105" s="20" t="s">
        <v>69</v>
      </c>
      <c r="U105" s="20" t="s">
        <v>49</v>
      </c>
      <c r="V105" s="20" t="s">
        <v>70</v>
      </c>
      <c r="W105" s="20" t="s">
        <v>71</v>
      </c>
      <c r="X105" s="20" t="s">
        <v>72</v>
      </c>
      <c r="Y105" s="20" t="s">
        <v>63</v>
      </c>
      <c r="Z105" s="20" t="s">
        <v>73</v>
      </c>
      <c r="AA105" s="20" t="s">
        <v>74</v>
      </c>
      <c r="AB105" s="20" t="s">
        <v>75</v>
      </c>
      <c r="AC105" s="20" t="s">
        <v>76</v>
      </c>
    </row>
    <row r="106" spans="14:53" x14ac:dyDescent="0.25">
      <c r="N106" s="20">
        <v>4</v>
      </c>
      <c r="O106" s="20">
        <v>24</v>
      </c>
      <c r="P106" s="20">
        <v>1</v>
      </c>
      <c r="Q106" s="20">
        <v>7.36</v>
      </c>
      <c r="S106" s="20" t="s">
        <v>77</v>
      </c>
    </row>
    <row r="107" spans="14:53" x14ac:dyDescent="0.25">
      <c r="N107" s="20">
        <v>5</v>
      </c>
      <c r="O107" s="20">
        <v>28</v>
      </c>
      <c r="P107" s="20">
        <v>1</v>
      </c>
      <c r="Q107" s="20">
        <v>7.36</v>
      </c>
      <c r="S107" s="20" t="s">
        <v>45</v>
      </c>
    </row>
    <row r="108" spans="14:53" x14ac:dyDescent="0.25">
      <c r="N108" s="20">
        <v>6</v>
      </c>
      <c r="O108" s="20">
        <v>32</v>
      </c>
      <c r="P108" s="20">
        <v>1</v>
      </c>
      <c r="Q108" s="20">
        <v>7.36</v>
      </c>
      <c r="S108" s="20" t="s">
        <v>45</v>
      </c>
    </row>
    <row r="109" spans="14:53" x14ac:dyDescent="0.25">
      <c r="N109" s="20">
        <v>7</v>
      </c>
      <c r="O109" s="20">
        <v>36</v>
      </c>
      <c r="P109" s="20">
        <v>1</v>
      </c>
      <c r="Q109" s="20">
        <v>7.36</v>
      </c>
      <c r="S109" s="20" t="s">
        <v>45</v>
      </c>
    </row>
    <row r="114" spans="14:29" x14ac:dyDescent="0.25">
      <c r="S114" s="20" t="s">
        <v>78</v>
      </c>
    </row>
    <row r="115" spans="14:29" x14ac:dyDescent="0.25">
      <c r="S115" s="20" t="s">
        <v>24</v>
      </c>
      <c r="T115" s="20" t="s">
        <v>25</v>
      </c>
      <c r="U115" s="20" t="s">
        <v>26</v>
      </c>
      <c r="V115" s="20" t="s">
        <v>27</v>
      </c>
      <c r="W115" s="20" t="s">
        <v>28</v>
      </c>
      <c r="X115" s="20" t="s">
        <v>29</v>
      </c>
      <c r="Y115" s="20" t="s">
        <v>30</v>
      </c>
      <c r="Z115" s="20" t="s">
        <v>31</v>
      </c>
      <c r="AA115" s="20" t="s">
        <v>32</v>
      </c>
      <c r="AB115" s="20" t="s">
        <v>33</v>
      </c>
      <c r="AC115" s="20" t="s">
        <v>34</v>
      </c>
    </row>
    <row r="116" spans="14:29" x14ac:dyDescent="0.25">
      <c r="N116" s="20">
        <v>1</v>
      </c>
      <c r="O116" s="20">
        <v>10</v>
      </c>
      <c r="P116" s="20">
        <v>1</v>
      </c>
      <c r="Q116" s="20">
        <v>7.36</v>
      </c>
      <c r="S116" s="20" t="s">
        <v>79</v>
      </c>
      <c r="T116" s="20" t="s">
        <v>80</v>
      </c>
      <c r="U116" s="20" t="s">
        <v>49</v>
      </c>
      <c r="V116" s="20" t="s">
        <v>81</v>
      </c>
      <c r="W116" s="20" t="s">
        <v>82</v>
      </c>
      <c r="X116" s="20" t="s">
        <v>83</v>
      </c>
      <c r="Y116" s="20" t="s">
        <v>53</v>
      </c>
      <c r="Z116" s="20" t="s">
        <v>84</v>
      </c>
      <c r="AA116" s="20" t="s">
        <v>85</v>
      </c>
      <c r="AB116" s="20" t="s">
        <v>86</v>
      </c>
      <c r="AC116" s="20" t="s">
        <v>87</v>
      </c>
    </row>
    <row r="117" spans="14:29" x14ac:dyDescent="0.25">
      <c r="N117" s="20">
        <v>2</v>
      </c>
      <c r="O117" s="20">
        <v>14</v>
      </c>
      <c r="P117" s="20">
        <v>1</v>
      </c>
      <c r="Q117" s="20">
        <v>7.36</v>
      </c>
      <c r="S117" s="20" t="s">
        <v>88</v>
      </c>
      <c r="T117" s="20" t="s">
        <v>89</v>
      </c>
      <c r="U117" s="20" t="s">
        <v>49</v>
      </c>
      <c r="V117" s="20" t="s">
        <v>90</v>
      </c>
      <c r="W117" s="20" t="s">
        <v>61</v>
      </c>
      <c r="X117" s="20" t="s">
        <v>91</v>
      </c>
      <c r="Y117" s="20" t="s">
        <v>92</v>
      </c>
      <c r="Z117" s="20" t="s">
        <v>93</v>
      </c>
      <c r="AA117" s="20" t="s">
        <v>94</v>
      </c>
      <c r="AB117" s="20" t="s">
        <v>95</v>
      </c>
      <c r="AC117" s="20" t="s">
        <v>96</v>
      </c>
    </row>
    <row r="118" spans="14:29" x14ac:dyDescent="0.25">
      <c r="N118" s="20">
        <v>3</v>
      </c>
      <c r="O118" s="20">
        <v>20</v>
      </c>
      <c r="P118" s="20">
        <v>1</v>
      </c>
      <c r="Q118" s="20">
        <v>7.36</v>
      </c>
      <c r="S118" s="20" t="s">
        <v>88</v>
      </c>
      <c r="T118" s="20" t="s">
        <v>97</v>
      </c>
      <c r="U118" s="20" t="s">
        <v>49</v>
      </c>
      <c r="V118" s="20" t="s">
        <v>98</v>
      </c>
      <c r="W118" s="20" t="s">
        <v>99</v>
      </c>
      <c r="X118" s="20" t="s">
        <v>100</v>
      </c>
      <c r="Y118" s="20" t="s">
        <v>101</v>
      </c>
      <c r="Z118" s="20" t="s">
        <v>102</v>
      </c>
      <c r="AA118" s="20" t="s">
        <v>103</v>
      </c>
      <c r="AB118" s="20" t="s">
        <v>104</v>
      </c>
      <c r="AC118" s="20" t="s">
        <v>105</v>
      </c>
    </row>
    <row r="119" spans="14:29" x14ac:dyDescent="0.25">
      <c r="N119" s="20">
        <v>4</v>
      </c>
      <c r="O119" s="20">
        <v>24</v>
      </c>
      <c r="P119" s="20">
        <v>1</v>
      </c>
      <c r="Q119" s="20">
        <v>7.36</v>
      </c>
      <c r="S119" s="20" t="s">
        <v>106</v>
      </c>
      <c r="T119" s="20" t="s">
        <v>107</v>
      </c>
      <c r="U119" s="20" t="s">
        <v>49</v>
      </c>
      <c r="V119" s="20" t="s">
        <v>108</v>
      </c>
      <c r="W119" s="20" t="s">
        <v>109</v>
      </c>
      <c r="X119" s="20" t="s">
        <v>110</v>
      </c>
      <c r="Y119" s="20" t="s">
        <v>101</v>
      </c>
      <c r="Z119" s="20" t="s">
        <v>111</v>
      </c>
      <c r="AA119" s="20" t="s">
        <v>112</v>
      </c>
      <c r="AB119" s="20" t="s">
        <v>113</v>
      </c>
      <c r="AC119" s="20" t="s">
        <v>114</v>
      </c>
    </row>
    <row r="120" spans="14:29" x14ac:dyDescent="0.25">
      <c r="N120" s="20">
        <v>5</v>
      </c>
      <c r="O120" s="20">
        <v>28</v>
      </c>
      <c r="P120" s="20">
        <v>1</v>
      </c>
      <c r="Q120" s="20">
        <v>7.36</v>
      </c>
      <c r="S120" s="20" t="s">
        <v>115</v>
      </c>
      <c r="T120" s="20" t="s">
        <v>116</v>
      </c>
      <c r="U120" s="20" t="s">
        <v>49</v>
      </c>
      <c r="V120" s="20" t="s">
        <v>117</v>
      </c>
      <c r="W120" s="20" t="s">
        <v>118</v>
      </c>
      <c r="X120" s="20" t="s">
        <v>119</v>
      </c>
      <c r="Y120" s="20" t="s">
        <v>101</v>
      </c>
      <c r="Z120" s="20" t="s">
        <v>120</v>
      </c>
      <c r="AA120" s="20" t="s">
        <v>121</v>
      </c>
      <c r="AB120" s="20" t="s">
        <v>122</v>
      </c>
      <c r="AC120" s="20" t="s">
        <v>123</v>
      </c>
    </row>
    <row r="121" spans="14:29" x14ac:dyDescent="0.25">
      <c r="N121" s="20">
        <v>6</v>
      </c>
      <c r="O121" s="20">
        <v>32</v>
      </c>
      <c r="P121" s="20">
        <v>1</v>
      </c>
      <c r="Q121" s="20">
        <v>7.36</v>
      </c>
      <c r="S121" s="20" t="s">
        <v>124</v>
      </c>
      <c r="T121" s="20" t="s">
        <v>125</v>
      </c>
      <c r="U121" s="20" t="s">
        <v>49</v>
      </c>
      <c r="V121" s="20" t="s">
        <v>126</v>
      </c>
      <c r="W121" s="20" t="s">
        <v>127</v>
      </c>
      <c r="X121" s="20" t="s">
        <v>128</v>
      </c>
      <c r="Y121" s="20" t="s">
        <v>101</v>
      </c>
      <c r="Z121" s="20" t="s">
        <v>129</v>
      </c>
      <c r="AA121" s="20" t="s">
        <v>130</v>
      </c>
      <c r="AB121" s="20" t="s">
        <v>131</v>
      </c>
      <c r="AC121" s="20" t="s">
        <v>132</v>
      </c>
    </row>
    <row r="122" spans="14:29" x14ac:dyDescent="0.25">
      <c r="N122" s="20">
        <v>7</v>
      </c>
      <c r="O122" s="20">
        <v>36</v>
      </c>
      <c r="P122" s="20">
        <v>1</v>
      </c>
      <c r="Q122" s="20">
        <v>7.36</v>
      </c>
      <c r="S122" s="20" t="s">
        <v>45</v>
      </c>
    </row>
    <row r="123" spans="14:29" x14ac:dyDescent="0.25">
      <c r="N123" s="20">
        <v>8</v>
      </c>
      <c r="O123" s="20">
        <v>40</v>
      </c>
      <c r="P123" s="20">
        <v>1</v>
      </c>
      <c r="Q123" s="20">
        <v>7.36</v>
      </c>
      <c r="S123" s="20" t="s">
        <v>45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7"/>
  <sheetViews>
    <sheetView topLeftCell="A4" workbookViewId="0">
      <selection activeCell="A27" sqref="A27:XFD27"/>
    </sheetView>
  </sheetViews>
  <sheetFormatPr defaultRowHeight="15" x14ac:dyDescent="0.25"/>
  <cols>
    <col min="2" max="2" width="122.28515625" bestFit="1" customWidth="1"/>
    <col min="3" max="3" width="73.42578125" bestFit="1" customWidth="1"/>
  </cols>
  <sheetData>
    <row r="1" spans="1:4" s="14" customFormat="1" x14ac:dyDescent="0.25">
      <c r="A1" s="14" t="s">
        <v>135</v>
      </c>
      <c r="B1" s="14" t="s">
        <v>136</v>
      </c>
      <c r="C1" s="14" t="s">
        <v>137</v>
      </c>
      <c r="D1" s="14">
        <v>1</v>
      </c>
    </row>
    <row r="2" spans="1:4" s="14" customFormat="1" x14ac:dyDescent="0.25">
      <c r="A2" s="14" t="s">
        <v>138</v>
      </c>
      <c r="B2" s="14" t="s">
        <v>139</v>
      </c>
      <c r="C2" s="14" t="s">
        <v>140</v>
      </c>
      <c r="D2" s="14">
        <v>1</v>
      </c>
    </row>
    <row r="3" spans="1:4" s="14" customFormat="1" x14ac:dyDescent="0.25">
      <c r="A3" s="14" t="s">
        <v>141</v>
      </c>
      <c r="B3" s="14" t="s">
        <v>142</v>
      </c>
      <c r="C3" s="14" t="s">
        <v>143</v>
      </c>
      <c r="D3" s="14">
        <v>1</v>
      </c>
    </row>
    <row r="4" spans="1:4" s="14" customFormat="1" x14ac:dyDescent="0.25">
      <c r="A4" s="14" t="s">
        <v>144</v>
      </c>
      <c r="B4" s="14" t="s">
        <v>145</v>
      </c>
      <c r="C4" s="14" t="s">
        <v>146</v>
      </c>
      <c r="D4" s="14">
        <v>1</v>
      </c>
    </row>
    <row r="5" spans="1:4" s="14" customFormat="1" x14ac:dyDescent="0.25">
      <c r="A5" s="14" t="s">
        <v>147</v>
      </c>
      <c r="B5" s="14" t="s">
        <v>148</v>
      </c>
      <c r="C5" s="14" t="s">
        <v>149</v>
      </c>
      <c r="D5" s="14">
        <v>1</v>
      </c>
    </row>
    <row r="6" spans="1:4" s="14" customFormat="1" x14ac:dyDescent="0.25">
      <c r="A6" s="14" t="s">
        <v>150</v>
      </c>
      <c r="B6" s="14" t="s">
        <v>151</v>
      </c>
      <c r="C6" s="14" t="s">
        <v>152</v>
      </c>
      <c r="D6" s="14">
        <v>1</v>
      </c>
    </row>
    <row r="7" spans="1:4" s="14" customFormat="1" x14ac:dyDescent="0.25">
      <c r="A7" s="14" t="s">
        <v>153</v>
      </c>
      <c r="B7" s="14" t="s">
        <v>154</v>
      </c>
      <c r="C7" s="14" t="s">
        <v>155</v>
      </c>
      <c r="D7" s="14">
        <v>1</v>
      </c>
    </row>
    <row r="8" spans="1:4" x14ac:dyDescent="0.25">
      <c r="A8" t="s">
        <v>156</v>
      </c>
      <c r="B8" t="s">
        <v>157</v>
      </c>
      <c r="C8" t="s">
        <v>158</v>
      </c>
      <c r="D8">
        <v>1</v>
      </c>
    </row>
    <row r="9" spans="1:4" x14ac:dyDescent="0.25">
      <c r="A9" t="s">
        <v>159</v>
      </c>
      <c r="B9" t="s">
        <v>160</v>
      </c>
      <c r="C9" t="s">
        <v>161</v>
      </c>
      <c r="D9">
        <v>1</v>
      </c>
    </row>
    <row r="10" spans="1:4" x14ac:dyDescent="0.25">
      <c r="A10" t="s">
        <v>162</v>
      </c>
      <c r="B10" t="s">
        <v>163</v>
      </c>
      <c r="C10" t="s">
        <v>164</v>
      </c>
      <c r="D10">
        <v>1</v>
      </c>
    </row>
    <row r="11" spans="1:4" s="14" customFormat="1" x14ac:dyDescent="0.25">
      <c r="A11" s="14" t="s">
        <v>165</v>
      </c>
      <c r="B11" s="14" t="s">
        <v>166</v>
      </c>
      <c r="C11" s="14" t="s">
        <v>167</v>
      </c>
      <c r="D11" s="14">
        <v>1</v>
      </c>
    </row>
    <row r="12" spans="1:4" s="41" customFormat="1" x14ac:dyDescent="0.25">
      <c r="A12" s="41" t="s">
        <v>168</v>
      </c>
      <c r="B12" s="41" t="s">
        <v>169</v>
      </c>
      <c r="C12" s="41" t="s">
        <v>170</v>
      </c>
      <c r="D12" s="41">
        <v>1</v>
      </c>
    </row>
    <row r="13" spans="1:4" s="14" customFormat="1" x14ac:dyDescent="0.25">
      <c r="A13" s="14" t="s">
        <v>171</v>
      </c>
      <c r="B13" s="14" t="s">
        <v>172</v>
      </c>
      <c r="C13" s="14" t="s">
        <v>173</v>
      </c>
      <c r="D13" s="14">
        <v>1</v>
      </c>
    </row>
    <row r="14" spans="1:4" s="14" customFormat="1" x14ac:dyDescent="0.25">
      <c r="A14" s="14" t="s">
        <v>174</v>
      </c>
      <c r="B14" s="14" t="s">
        <v>175</v>
      </c>
      <c r="C14" s="14" t="s">
        <v>176</v>
      </c>
      <c r="D14" s="14">
        <v>1</v>
      </c>
    </row>
    <row r="15" spans="1:4" s="14" customFormat="1" x14ac:dyDescent="0.25">
      <c r="A15" s="14" t="s">
        <v>177</v>
      </c>
      <c r="B15" s="14" t="s">
        <v>178</v>
      </c>
      <c r="C15" s="14" t="s">
        <v>179</v>
      </c>
      <c r="D15" s="14">
        <v>1</v>
      </c>
    </row>
    <row r="16" spans="1:4" s="14" customFormat="1" x14ac:dyDescent="0.25">
      <c r="A16" s="14" t="s">
        <v>180</v>
      </c>
      <c r="B16" s="14" t="s">
        <v>181</v>
      </c>
      <c r="C16" s="14" t="s">
        <v>146</v>
      </c>
      <c r="D16" s="14">
        <v>1</v>
      </c>
    </row>
    <row r="17" spans="1:4" x14ac:dyDescent="0.25">
      <c r="A17" t="s">
        <v>182</v>
      </c>
      <c r="B17" t="s">
        <v>183</v>
      </c>
      <c r="C17" t="s">
        <v>176</v>
      </c>
      <c r="D17">
        <v>1</v>
      </c>
    </row>
    <row r="18" spans="1:4" s="14" customFormat="1" x14ac:dyDescent="0.25">
      <c r="A18" s="14" t="s">
        <v>184</v>
      </c>
      <c r="B18" s="14" t="s">
        <v>185</v>
      </c>
      <c r="C18" s="14" t="s">
        <v>155</v>
      </c>
      <c r="D18" s="14">
        <v>1</v>
      </c>
    </row>
    <row r="19" spans="1:4" x14ac:dyDescent="0.25">
      <c r="A19" t="s">
        <v>186</v>
      </c>
      <c r="B19" t="s">
        <v>187</v>
      </c>
      <c r="C19" t="s">
        <v>188</v>
      </c>
      <c r="D19">
        <v>1</v>
      </c>
    </row>
    <row r="20" spans="1:4" x14ac:dyDescent="0.25">
      <c r="A20" t="s">
        <v>189</v>
      </c>
      <c r="B20" t="s">
        <v>190</v>
      </c>
      <c r="C20" t="s">
        <v>191</v>
      </c>
      <c r="D20">
        <v>1</v>
      </c>
    </row>
    <row r="21" spans="1:4" x14ac:dyDescent="0.25">
      <c r="A21" t="s">
        <v>192</v>
      </c>
      <c r="B21" t="s">
        <v>193</v>
      </c>
      <c r="C21" t="s">
        <v>143</v>
      </c>
      <c r="D21">
        <v>1</v>
      </c>
    </row>
    <row r="22" spans="1:4" x14ac:dyDescent="0.25">
      <c r="A22" t="s">
        <v>194</v>
      </c>
      <c r="B22" t="s">
        <v>195</v>
      </c>
      <c r="C22" t="s">
        <v>146</v>
      </c>
      <c r="D22">
        <v>1</v>
      </c>
    </row>
    <row r="23" spans="1:4" s="14" customFormat="1" x14ac:dyDescent="0.25">
      <c r="A23" s="14" t="s">
        <v>196</v>
      </c>
      <c r="B23" s="14" t="s">
        <v>197</v>
      </c>
      <c r="C23" s="14" t="s">
        <v>146</v>
      </c>
      <c r="D23" s="14">
        <v>1</v>
      </c>
    </row>
    <row r="24" spans="1:4" x14ac:dyDescent="0.25">
      <c r="A24" t="s">
        <v>198</v>
      </c>
      <c r="B24" t="s">
        <v>199</v>
      </c>
      <c r="C24" t="s">
        <v>200</v>
      </c>
      <c r="D24">
        <v>1</v>
      </c>
    </row>
    <row r="25" spans="1:4" x14ac:dyDescent="0.25">
      <c r="A25" t="s">
        <v>201</v>
      </c>
      <c r="B25" t="s">
        <v>202</v>
      </c>
      <c r="C25" t="s">
        <v>176</v>
      </c>
      <c r="D25">
        <v>1</v>
      </c>
    </row>
    <row r="26" spans="1:4" x14ac:dyDescent="0.25">
      <c r="A26" t="s">
        <v>203</v>
      </c>
      <c r="B26" t="s">
        <v>204</v>
      </c>
      <c r="C26" t="s">
        <v>205</v>
      </c>
      <c r="D26">
        <v>1</v>
      </c>
    </row>
    <row r="27" spans="1:4" s="14" customFormat="1" x14ac:dyDescent="0.25">
      <c r="A27" s="14" t="s">
        <v>206</v>
      </c>
      <c r="B27" s="14" t="s">
        <v>207</v>
      </c>
      <c r="C27" s="14" t="s">
        <v>208</v>
      </c>
      <c r="D27" s="14">
        <v>1</v>
      </c>
    </row>
    <row r="28" spans="1:4" x14ac:dyDescent="0.25">
      <c r="A28" t="s">
        <v>209</v>
      </c>
      <c r="B28" t="s">
        <v>210</v>
      </c>
      <c r="C28" t="s">
        <v>211</v>
      </c>
      <c r="D28">
        <v>1</v>
      </c>
    </row>
    <row r="29" spans="1:4" x14ac:dyDescent="0.25">
      <c r="A29" t="s">
        <v>212</v>
      </c>
      <c r="B29" t="s">
        <v>213</v>
      </c>
      <c r="C29" t="s">
        <v>176</v>
      </c>
      <c r="D29">
        <v>1</v>
      </c>
    </row>
    <row r="30" spans="1:4" x14ac:dyDescent="0.25">
      <c r="A30" t="s">
        <v>214</v>
      </c>
      <c r="B30" t="s">
        <v>215</v>
      </c>
      <c r="C30" t="s">
        <v>205</v>
      </c>
      <c r="D30">
        <v>1</v>
      </c>
    </row>
    <row r="31" spans="1:4" x14ac:dyDescent="0.25">
      <c r="A31" t="s">
        <v>216</v>
      </c>
      <c r="B31" t="s">
        <v>217</v>
      </c>
      <c r="C31" t="s">
        <v>218</v>
      </c>
      <c r="D31">
        <v>1</v>
      </c>
    </row>
    <row r="32" spans="1:4" x14ac:dyDescent="0.25">
      <c r="A32" t="s">
        <v>219</v>
      </c>
      <c r="B32" t="s">
        <v>220</v>
      </c>
      <c r="C32" t="s">
        <v>179</v>
      </c>
      <c r="D32">
        <v>1</v>
      </c>
    </row>
    <row r="33" spans="1:4" x14ac:dyDescent="0.25">
      <c r="A33" t="s">
        <v>221</v>
      </c>
      <c r="B33" t="s">
        <v>222</v>
      </c>
      <c r="C33" t="s">
        <v>223</v>
      </c>
      <c r="D33">
        <v>1</v>
      </c>
    </row>
    <row r="34" spans="1:4" x14ac:dyDescent="0.25">
      <c r="A34" t="s">
        <v>224</v>
      </c>
      <c r="B34" t="s">
        <v>225</v>
      </c>
      <c r="C34" t="s">
        <v>179</v>
      </c>
      <c r="D34">
        <v>1</v>
      </c>
    </row>
    <row r="35" spans="1:4" x14ac:dyDescent="0.25">
      <c r="A35" t="s">
        <v>226</v>
      </c>
      <c r="B35" t="s">
        <v>227</v>
      </c>
      <c r="C35" t="s">
        <v>205</v>
      </c>
      <c r="D35">
        <v>1</v>
      </c>
    </row>
    <row r="36" spans="1:4" x14ac:dyDescent="0.25">
      <c r="A36" t="s">
        <v>228</v>
      </c>
      <c r="B36" t="s">
        <v>229</v>
      </c>
      <c r="C36" t="s">
        <v>230</v>
      </c>
      <c r="D36">
        <v>1</v>
      </c>
    </row>
    <row r="37" spans="1:4" x14ac:dyDescent="0.25">
      <c r="A37" t="s">
        <v>231</v>
      </c>
      <c r="B37" t="s">
        <v>232</v>
      </c>
      <c r="C37" t="s">
        <v>233</v>
      </c>
      <c r="D37">
        <v>1</v>
      </c>
    </row>
    <row r="38" spans="1:4" x14ac:dyDescent="0.25">
      <c r="A38" t="s">
        <v>234</v>
      </c>
      <c r="B38" t="s">
        <v>235</v>
      </c>
      <c r="C38" t="s">
        <v>236</v>
      </c>
      <c r="D38">
        <v>1</v>
      </c>
    </row>
    <row r="39" spans="1:4" s="14" customFormat="1" x14ac:dyDescent="0.25">
      <c r="A39" s="14" t="s">
        <v>237</v>
      </c>
      <c r="B39" s="14" t="s">
        <v>238</v>
      </c>
      <c r="C39" s="14" t="s">
        <v>230</v>
      </c>
      <c r="D39" s="14">
        <v>1</v>
      </c>
    </row>
    <row r="40" spans="1:4" s="14" customFormat="1" x14ac:dyDescent="0.25">
      <c r="A40" s="14" t="s">
        <v>239</v>
      </c>
      <c r="B40" s="14" t="s">
        <v>240</v>
      </c>
      <c r="C40" s="14" t="s">
        <v>236</v>
      </c>
      <c r="D40" s="14">
        <v>1</v>
      </c>
    </row>
    <row r="41" spans="1:4" x14ac:dyDescent="0.25">
      <c r="A41" t="s">
        <v>241</v>
      </c>
      <c r="B41" t="s">
        <v>242</v>
      </c>
      <c r="C41" t="s">
        <v>205</v>
      </c>
      <c r="D41">
        <v>1</v>
      </c>
    </row>
    <row r="42" spans="1:4" s="14" customFormat="1" x14ac:dyDescent="0.25">
      <c r="A42" s="14" t="s">
        <v>243</v>
      </c>
      <c r="B42" s="14" t="s">
        <v>244</v>
      </c>
      <c r="C42" s="14" t="s">
        <v>245</v>
      </c>
      <c r="D42" s="14">
        <v>1</v>
      </c>
    </row>
    <row r="43" spans="1:4" s="14" customFormat="1" x14ac:dyDescent="0.25">
      <c r="A43" s="14" t="s">
        <v>246</v>
      </c>
      <c r="B43" s="14" t="s">
        <v>247</v>
      </c>
      <c r="C43" s="14" t="s">
        <v>230</v>
      </c>
      <c r="D43" s="14">
        <v>1</v>
      </c>
    </row>
    <row r="44" spans="1:4" x14ac:dyDescent="0.25">
      <c r="A44" t="s">
        <v>248</v>
      </c>
      <c r="B44" t="s">
        <v>249</v>
      </c>
      <c r="C44" t="s">
        <v>250</v>
      </c>
      <c r="D44">
        <v>1</v>
      </c>
    </row>
    <row r="45" spans="1:4" x14ac:dyDescent="0.25">
      <c r="A45" t="s">
        <v>251</v>
      </c>
      <c r="B45" t="s">
        <v>252</v>
      </c>
      <c r="C45" t="s">
        <v>236</v>
      </c>
      <c r="D45">
        <v>1</v>
      </c>
    </row>
    <row r="46" spans="1:4" x14ac:dyDescent="0.25">
      <c r="A46" t="s">
        <v>253</v>
      </c>
      <c r="B46" t="s">
        <v>254</v>
      </c>
      <c r="C46" t="s">
        <v>255</v>
      </c>
      <c r="D46">
        <v>1</v>
      </c>
    </row>
    <row r="47" spans="1:4" x14ac:dyDescent="0.25">
      <c r="A47" t="s">
        <v>256</v>
      </c>
      <c r="B47" t="s">
        <v>257</v>
      </c>
      <c r="C47" t="s">
        <v>258</v>
      </c>
      <c r="D47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1ступень</vt:lpstr>
      <vt:lpstr>2ступени</vt:lpstr>
      <vt:lpstr>Формирование таблиц</vt:lpstr>
      <vt:lpstr>огиб</vt:lpstr>
      <vt:lpstr>Лист1</vt:lpstr>
    </vt:vector>
  </TitlesOfParts>
  <Company>ТюменНИИгипрогаз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KorobeynikovAV</dc:creator>
  <cp:lastModifiedBy>M_Anisimova</cp:lastModifiedBy>
  <dcterms:created xsi:type="dcterms:W3CDTF">2015-09-21T09:42:57Z</dcterms:created>
  <dcterms:modified xsi:type="dcterms:W3CDTF">2025-11-17T03:23:04Z</dcterms:modified>
</cp:coreProperties>
</file>