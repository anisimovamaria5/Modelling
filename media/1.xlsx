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trlProps/ctrlProp1.xml" ContentType="application/vnd.ms-excel.controlproperti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trlProps/ctrlProp2.xml" ContentType="application/vnd.ms-excel.controlpropertie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5820" yWindow="105" windowWidth="14805" windowHeight="8010" activeTab="3"/>
  </bookViews>
  <sheets>
    <sheet name="Лист1" sheetId="1" r:id="rId1"/>
    <sheet name="Лист2" sheetId="2" r:id="rId2"/>
    <sheet name="Лист3" sheetId="3" r:id="rId3"/>
    <sheet name="Лист5" sheetId="5" r:id="rId4"/>
  </sheets>
  <calcPr calcId="152511"/>
</workbook>
</file>

<file path=xl/calcChain.xml><?xml version="1.0" encoding="utf-8"?>
<calcChain xmlns="http://schemas.openxmlformats.org/spreadsheetml/2006/main">
  <c r="J25" i="5" l="1"/>
  <c r="E42" i="5" a="1"/>
  <c r="E42" i="5" s="1"/>
  <c r="F42" i="5" a="1"/>
  <c r="F42" i="5" s="1"/>
  <c r="F23" i="5" a="1"/>
  <c r="F23" i="5" s="1"/>
  <c r="F24" i="5" a="1"/>
  <c r="F24" i="5" s="1"/>
  <c r="F25" i="5" a="1"/>
  <c r="F25" i="5" s="1"/>
  <c r="F26" i="5" a="1"/>
  <c r="F26" i="5" s="1"/>
  <c r="F27" i="5" a="1"/>
  <c r="F27" i="5" s="1"/>
  <c r="F28" i="5" a="1"/>
  <c r="F28" i="5" s="1"/>
  <c r="F29" i="5" a="1"/>
  <c r="F29" i="5" s="1"/>
  <c r="F30" i="5" a="1"/>
  <c r="F30" i="5" s="1"/>
  <c r="F31" i="5" a="1"/>
  <c r="F31" i="5" s="1"/>
  <c r="F32" i="5" a="1"/>
  <c r="F32" i="5" s="1"/>
  <c r="F33" i="5" a="1"/>
  <c r="F33" i="5" s="1"/>
  <c r="F34" i="5" a="1"/>
  <c r="F34" i="5" s="1"/>
  <c r="F35" i="5" a="1"/>
  <c r="F35" i="5" s="1"/>
  <c r="F36" i="5" a="1"/>
  <c r="F36" i="5" s="1"/>
  <c r="F37" i="5" a="1"/>
  <c r="F37" i="5" s="1"/>
  <c r="F38" i="5" a="1"/>
  <c r="F38" i="5" s="1"/>
  <c r="F39" i="5" a="1"/>
  <c r="F39" i="5" s="1"/>
  <c r="F40" i="5" a="1"/>
  <c r="F40" i="5" s="1"/>
  <c r="F41" i="5" a="1"/>
  <c r="F41" i="5" s="1"/>
  <c r="G23" i="5" l="1" a="1"/>
  <c r="G23" i="5" s="1"/>
  <c r="E35" i="5" a="1"/>
  <c r="E35" i="5" s="1"/>
  <c r="E36" i="5" a="1"/>
  <c r="E36" i="5" s="1"/>
  <c r="E37" i="5" a="1"/>
  <c r="E37" i="5" s="1"/>
  <c r="E38" i="5" a="1"/>
  <c r="E38" i="5" s="1"/>
  <c r="E39" i="5" a="1"/>
  <c r="E39" i="5" s="1"/>
  <c r="E40" i="5" a="1"/>
  <c r="E40" i="5" s="1"/>
  <c r="E41" i="5" a="1"/>
  <c r="E41" i="5" s="1"/>
  <c r="E24" i="5" a="1"/>
  <c r="E24" i="5" s="1"/>
  <c r="E25" i="5" a="1"/>
  <c r="E25" i="5" s="1"/>
  <c r="E26" i="5" a="1"/>
  <c r="E26" i="5" s="1"/>
  <c r="E27" i="5" a="1"/>
  <c r="E27" i="5" s="1"/>
  <c r="E28" i="5" a="1"/>
  <c r="E28" i="5" s="1"/>
  <c r="E29" i="5" a="1"/>
  <c r="E29" i="5" s="1"/>
  <c r="E30" i="5" a="1"/>
  <c r="E30" i="5" s="1"/>
  <c r="E31" i="5" a="1"/>
  <c r="E31" i="5" s="1"/>
  <c r="E32" i="5" a="1"/>
  <c r="E32" i="5" s="1"/>
  <c r="E33" i="5" a="1"/>
  <c r="E33" i="5" s="1"/>
  <c r="E34" i="5" a="1"/>
  <c r="E34" i="5" s="1"/>
  <c r="E23" i="5" a="1"/>
  <c r="E23" i="5" s="1"/>
  <c r="D24" i="5" a="1"/>
  <c r="D24" i="5" s="1"/>
  <c r="D25" i="5" a="1"/>
  <c r="D25" i="5" s="1"/>
  <c r="D26" i="5" a="1"/>
  <c r="D26" i="5" s="1"/>
  <c r="D27" i="5" a="1"/>
  <c r="D27" i="5" s="1"/>
  <c r="D28" i="5" a="1"/>
  <c r="D28" i="5" s="1"/>
  <c r="D29" i="5" a="1"/>
  <c r="D29" i="5" s="1"/>
  <c r="D30" i="5" a="1"/>
  <c r="D30" i="5" s="1"/>
  <c r="D31" i="5" a="1"/>
  <c r="D31" i="5" s="1"/>
  <c r="D32" i="5" a="1"/>
  <c r="D32" i="5" s="1"/>
  <c r="D33" i="5" a="1"/>
  <c r="D33" i="5" s="1"/>
  <c r="D34" i="5" a="1"/>
  <c r="D34" i="5" s="1"/>
  <c r="D35" i="5" a="1"/>
  <c r="D35" i="5" s="1"/>
  <c r="D36" i="5" a="1"/>
  <c r="D36" i="5" s="1"/>
  <c r="D37" i="5" a="1"/>
  <c r="D37" i="5" s="1"/>
  <c r="D38" i="5" a="1"/>
  <c r="D38" i="5" s="1"/>
  <c r="D39" i="5" a="1"/>
  <c r="D39" i="5" s="1"/>
  <c r="D40" i="5" a="1"/>
  <c r="D40" i="5" s="1"/>
  <c r="D41" i="5" a="1"/>
  <c r="D41" i="5" s="1"/>
  <c r="D42" i="5" a="1"/>
  <c r="D42" i="5" s="1"/>
  <c r="D23" i="5" a="1"/>
  <c r="D23" i="5" s="1"/>
  <c r="C24" i="5" l="1" a="1"/>
  <c r="C24" i="5" s="1"/>
  <c r="C26" i="5" a="1"/>
  <c r="C26" i="5" s="1"/>
  <c r="C27" i="5" a="1"/>
  <c r="C27" i="5" s="1"/>
  <c r="C28" i="5" a="1"/>
  <c r="C28" i="5" s="1"/>
  <c r="C29" i="5" a="1"/>
  <c r="C29" i="5" s="1"/>
  <c r="C30" i="5" a="1"/>
  <c r="C30" i="5" s="1"/>
  <c r="C31" i="5" a="1"/>
  <c r="C31" i="5" s="1"/>
  <c r="C32" i="5" a="1"/>
  <c r="C32" i="5" s="1"/>
  <c r="C33" i="5" a="1"/>
  <c r="C33" i="5" s="1"/>
  <c r="C34" i="5" a="1"/>
  <c r="C34" i="5" s="1"/>
  <c r="C35" i="5" a="1"/>
  <c r="C35" i="5" s="1"/>
  <c r="C36" i="5" a="1"/>
  <c r="C36" i="5" s="1"/>
  <c r="C37" i="5" a="1"/>
  <c r="C37" i="5" s="1"/>
  <c r="C38" i="5" a="1"/>
  <c r="C38" i="5" s="1"/>
  <c r="C39" i="5" a="1"/>
  <c r="C39" i="5" s="1"/>
  <c r="C40" i="5" a="1"/>
  <c r="C40" i="5" s="1"/>
  <c r="C41" i="5" a="1"/>
  <c r="C41" i="5" s="1"/>
  <c r="C42" i="5" a="1"/>
  <c r="C42" i="5" s="1"/>
  <c r="C23" i="5" a="1"/>
  <c r="C23" i="5" s="1"/>
  <c r="J23" i="5" s="1"/>
  <c r="G24" i="5" a="1"/>
  <c r="G24" i="5" s="1"/>
  <c r="G25" i="5" a="1"/>
  <c r="G25" i="5" s="1"/>
  <c r="G26" i="5" a="1"/>
  <c r="G26" i="5" s="1"/>
  <c r="G27" i="5" a="1"/>
  <c r="G27" i="5" s="1"/>
  <c r="G28" i="5" a="1"/>
  <c r="G28" i="5" s="1"/>
  <c r="G29" i="5" a="1"/>
  <c r="G29" i="5" s="1"/>
  <c r="G30" i="5" a="1"/>
  <c r="G30" i="5" s="1"/>
  <c r="G31" i="5" a="1"/>
  <c r="G31" i="5" s="1"/>
  <c r="G32" i="5" a="1"/>
  <c r="G32" i="5" s="1"/>
  <c r="G33" i="5" a="1"/>
  <c r="G33" i="5" s="1"/>
  <c r="J33" i="5" l="1"/>
  <c r="J32" i="5"/>
  <c r="J31" i="5"/>
  <c r="J30" i="5"/>
  <c r="J29" i="5"/>
  <c r="J28" i="5"/>
  <c r="J27" i="5"/>
  <c r="J26" i="5"/>
  <c r="J24" i="5"/>
  <c r="J36" i="5"/>
  <c r="J35" i="5"/>
  <c r="J34" i="5"/>
  <c r="J42" i="5"/>
  <c r="J41" i="5"/>
  <c r="J40" i="5"/>
  <c r="J39" i="5"/>
  <c r="J38" i="5"/>
  <c r="J37" i="5"/>
  <c r="U47" i="3"/>
  <c r="U46" i="3"/>
  <c r="U45" i="3"/>
  <c r="U44" i="3"/>
  <c r="U43" i="3"/>
  <c r="U42" i="3"/>
  <c r="U41" i="3"/>
  <c r="U40" i="3"/>
  <c r="U39" i="3"/>
  <c r="U38" i="3"/>
  <c r="U37" i="3"/>
  <c r="U36" i="3"/>
  <c r="U35" i="3"/>
  <c r="U34" i="3"/>
  <c r="U33" i="3"/>
  <c r="U32" i="3"/>
  <c r="U31" i="3"/>
  <c r="U30" i="3"/>
  <c r="U29" i="3"/>
  <c r="U28" i="3"/>
  <c r="U27" i="3"/>
  <c r="W26" i="3" a="1"/>
  <c r="W42" i="3" s="1"/>
  <c r="V26" i="3" a="1"/>
  <c r="V40" i="3" s="1"/>
  <c r="U26" i="3"/>
  <c r="AA8" i="3" a="1"/>
  <c r="AA16" i="3" s="1"/>
  <c r="W1" i="3"/>
  <c r="V1" i="3"/>
  <c r="U1" i="3"/>
  <c r="T1" i="3"/>
  <c r="S1" i="3"/>
  <c r="R1" i="3"/>
  <c r="Q1" i="3"/>
  <c r="P1" i="3"/>
  <c r="O1" i="3"/>
  <c r="N1" i="3"/>
  <c r="V29" i="3" l="1"/>
  <c r="W44" i="3"/>
  <c r="V32" i="3"/>
  <c r="AA10" i="3"/>
  <c r="AA22" i="3"/>
  <c r="V34" i="3"/>
  <c r="V46" i="3"/>
  <c r="W35" i="3"/>
  <c r="W30" i="3"/>
  <c r="AA18" i="3"/>
  <c r="V42" i="3"/>
  <c r="W31" i="3"/>
  <c r="V31" i="3"/>
  <c r="W32" i="3"/>
  <c r="V44" i="3"/>
  <c r="V33" i="3"/>
  <c r="AA11" i="3"/>
  <c r="AA23" i="3"/>
  <c r="V35" i="3"/>
  <c r="V47" i="3"/>
  <c r="W36" i="3"/>
  <c r="W37" i="3"/>
  <c r="V37" i="3"/>
  <c r="W26" i="3"/>
  <c r="W38" i="3"/>
  <c r="AA13" i="3"/>
  <c r="AA14" i="3"/>
  <c r="V26" i="3"/>
  <c r="V38" i="3"/>
  <c r="W27" i="3"/>
  <c r="W39" i="3"/>
  <c r="W43" i="3"/>
  <c r="AA19" i="3"/>
  <c r="V43" i="3"/>
  <c r="AA20" i="3"/>
  <c r="W33" i="3"/>
  <c r="AA21" i="3"/>
  <c r="V45" i="3"/>
  <c r="V36" i="3"/>
  <c r="AA15" i="3"/>
  <c r="V27" i="3"/>
  <c r="V39" i="3"/>
  <c r="W28" i="3"/>
  <c r="W40" i="3"/>
  <c r="AA17" i="3"/>
  <c r="V41" i="3"/>
  <c r="V30" i="3"/>
  <c r="AA8" i="3"/>
  <c r="W45" i="3"/>
  <c r="AA9" i="3"/>
  <c r="W34" i="3"/>
  <c r="AA12" i="3"/>
  <c r="V28" i="3"/>
  <c r="W29" i="3"/>
  <c r="W41" i="3"/>
  <c r="AJ16" i="1" l="1"/>
  <c r="AI16" i="1" l="1"/>
  <c r="AJ15" i="1"/>
  <c r="AJ14" i="1" s="1"/>
  <c r="AJ13" i="1" s="1"/>
  <c r="AJ12" i="1" s="1"/>
  <c r="AJ11" i="1" s="1"/>
  <c r="AJ10" i="1" s="1"/>
  <c r="AJ9" i="1" s="1"/>
  <c r="AJ8" i="1" s="1"/>
  <c r="AJ7" i="1" s="1"/>
  <c r="AJ6" i="1" s="1"/>
  <c r="AJ5" i="1" s="1"/>
  <c r="AJ4" i="1" s="1"/>
  <c r="AJ3" i="1" s="1"/>
  <c r="AJ2" i="1" s="1"/>
  <c r="A301" i="2"/>
  <c r="A300" i="2"/>
  <c r="A299" i="2"/>
  <c r="A298" i="2"/>
  <c r="A297" i="2"/>
  <c r="A296" i="2"/>
  <c r="A295" i="2"/>
  <c r="A294" i="2"/>
  <c r="A293" i="2"/>
  <c r="A292" i="2"/>
  <c r="A291" i="2"/>
  <c r="A290" i="2"/>
  <c r="A289" i="2"/>
  <c r="A288" i="2"/>
  <c r="A287" i="2"/>
  <c r="A286" i="2"/>
  <c r="A285" i="2"/>
  <c r="A284" i="2"/>
  <c r="A283" i="2"/>
  <c r="A282" i="2"/>
  <c r="A281" i="2"/>
  <c r="A280" i="2"/>
  <c r="A279" i="2"/>
  <c r="A278" i="2"/>
  <c r="A277" i="2"/>
  <c r="A276" i="2"/>
  <c r="A275" i="2"/>
  <c r="A274" i="2"/>
  <c r="A273" i="2"/>
  <c r="A272" i="2"/>
  <c r="A271" i="2"/>
  <c r="A270" i="2"/>
  <c r="A269" i="2"/>
  <c r="A268" i="2"/>
  <c r="A267" i="2"/>
  <c r="A266" i="2"/>
  <c r="A265" i="2"/>
  <c r="A264" i="2"/>
  <c r="A263" i="2"/>
  <c r="A262" i="2"/>
  <c r="A261" i="2"/>
  <c r="A260" i="2"/>
  <c r="A259" i="2"/>
  <c r="A258" i="2"/>
  <c r="A257" i="2"/>
  <c r="A256" i="2"/>
  <c r="A255" i="2"/>
  <c r="A254" i="2"/>
  <c r="A253" i="2"/>
  <c r="A252" i="2"/>
  <c r="A251" i="2"/>
  <c r="A250" i="2"/>
  <c r="A249" i="2"/>
  <c r="A248" i="2"/>
  <c r="A247" i="2"/>
  <c r="A246" i="2"/>
  <c r="A245" i="2"/>
  <c r="A244" i="2"/>
  <c r="A243" i="2"/>
  <c r="A242" i="2"/>
  <c r="A241" i="2"/>
  <c r="A240" i="2"/>
  <c r="A239" i="2"/>
  <c r="A238" i="2"/>
  <c r="A237" i="2"/>
  <c r="A236" i="2"/>
  <c r="A235" i="2"/>
  <c r="A234" i="2"/>
  <c r="A233" i="2"/>
  <c r="A232" i="2"/>
  <c r="A231" i="2"/>
  <c r="A230" i="2"/>
  <c r="A229" i="2"/>
  <c r="A228" i="2"/>
  <c r="A227" i="2"/>
  <c r="A226" i="2"/>
  <c r="A225" i="2"/>
  <c r="A224" i="2"/>
  <c r="A223" i="2"/>
  <c r="A222" i="2"/>
  <c r="A221" i="2"/>
  <c r="A220" i="2"/>
  <c r="A219" i="2"/>
  <c r="A218" i="2"/>
  <c r="A217" i="2"/>
  <c r="A216" i="2"/>
  <c r="A215" i="2"/>
  <c r="A214" i="2"/>
  <c r="A213" i="2"/>
  <c r="A212" i="2"/>
  <c r="A211" i="2"/>
  <c r="A210" i="2"/>
  <c r="A209" i="2"/>
  <c r="A208" i="2"/>
  <c r="A207" i="2"/>
  <c r="A206" i="2"/>
  <c r="A205" i="2"/>
  <c r="A204" i="2"/>
  <c r="A203" i="2"/>
  <c r="A202" i="2"/>
  <c r="A201" i="2"/>
  <c r="A200" i="2"/>
  <c r="A199" i="2"/>
  <c r="A198" i="2"/>
  <c r="A197" i="2"/>
  <c r="A196" i="2"/>
  <c r="A195" i="2"/>
  <c r="A194" i="2"/>
  <c r="A193" i="2"/>
  <c r="A192" i="2"/>
  <c r="A191" i="2"/>
  <c r="A190" i="2"/>
  <c r="A189" i="2"/>
  <c r="A188" i="2"/>
  <c r="A187" i="2"/>
  <c r="A186" i="2"/>
  <c r="A185" i="2"/>
  <c r="A184" i="2"/>
  <c r="A183" i="2"/>
  <c r="A182" i="2"/>
  <c r="A181" i="2"/>
  <c r="A180" i="2"/>
  <c r="A179" i="2"/>
  <c r="A178" i="2"/>
  <c r="A177" i="2"/>
  <c r="A176" i="2"/>
  <c r="A175" i="2"/>
  <c r="A174" i="2"/>
  <c r="A173" i="2"/>
  <c r="A172" i="2"/>
  <c r="A171" i="2"/>
  <c r="A170" i="2"/>
  <c r="A169" i="2"/>
  <c r="A168" i="2"/>
  <c r="A167" i="2"/>
  <c r="A166" i="2"/>
  <c r="A165" i="2"/>
  <c r="A164" i="2"/>
  <c r="A163" i="2"/>
  <c r="A162" i="2"/>
  <c r="A161" i="2"/>
  <c r="A160" i="2"/>
  <c r="A159" i="2"/>
  <c r="A158" i="2"/>
  <c r="A157" i="2"/>
  <c r="A156" i="2"/>
  <c r="A155" i="2"/>
  <c r="A154" i="2"/>
  <c r="A153" i="2"/>
  <c r="A152" i="2"/>
  <c r="A151" i="2"/>
  <c r="A150" i="2"/>
  <c r="A149" i="2"/>
  <c r="A148" i="2"/>
  <c r="A147" i="2"/>
  <c r="A146" i="2"/>
  <c r="A145" i="2"/>
  <c r="A144" i="2"/>
  <c r="A143" i="2"/>
  <c r="A142" i="2"/>
  <c r="A141" i="2"/>
  <c r="A140" i="2"/>
  <c r="A139" i="2"/>
  <c r="A138" i="2"/>
  <c r="A137" i="2"/>
  <c r="A136" i="2"/>
  <c r="A135" i="2"/>
  <c r="A134" i="2"/>
  <c r="A133" i="2"/>
  <c r="A132" i="2"/>
  <c r="A131" i="2"/>
  <c r="A130" i="2"/>
  <c r="A129" i="2"/>
  <c r="A128" i="2"/>
  <c r="A127" i="2"/>
  <c r="A126" i="2"/>
  <c r="A125" i="2"/>
  <c r="A124" i="2"/>
  <c r="A123" i="2"/>
  <c r="A122" i="2"/>
  <c r="A121" i="2"/>
  <c r="A120" i="2"/>
  <c r="A119" i="2"/>
  <c r="A118" i="2"/>
  <c r="A117" i="2"/>
  <c r="A116" i="2"/>
  <c r="A115" i="2"/>
  <c r="A114" i="2"/>
  <c r="A113" i="2"/>
  <c r="A112" i="2"/>
  <c r="A111" i="2"/>
  <c r="A110" i="2"/>
  <c r="A109" i="2"/>
  <c r="A108" i="2"/>
  <c r="A107" i="2"/>
  <c r="A106" i="2"/>
  <c r="A105" i="2"/>
  <c r="A104" i="2"/>
  <c r="A103" i="2"/>
  <c r="A102" i="2"/>
  <c r="A101" i="2"/>
  <c r="A100" i="2"/>
  <c r="A99" i="2"/>
  <c r="A98" i="2"/>
  <c r="A97" i="2"/>
  <c r="A96" i="2"/>
  <c r="A95" i="2"/>
  <c r="A94" i="2"/>
  <c r="A93" i="2"/>
  <c r="A92" i="2"/>
  <c r="A91" i="2"/>
  <c r="A90" i="2"/>
  <c r="A89" i="2"/>
  <c r="A88" i="2"/>
  <c r="A87" i="2"/>
  <c r="A86" i="2"/>
  <c r="A85" i="2"/>
  <c r="A84" i="2"/>
  <c r="A83" i="2"/>
  <c r="A82" i="2"/>
  <c r="A81" i="2"/>
  <c r="A80" i="2"/>
  <c r="A79" i="2"/>
  <c r="A78" i="2"/>
  <c r="A77" i="2"/>
  <c r="A76" i="2"/>
  <c r="A75" i="2"/>
  <c r="A74" i="2"/>
  <c r="A73" i="2"/>
  <c r="A72" i="2"/>
  <c r="A71" i="2"/>
  <c r="A70" i="2"/>
  <c r="A69" i="2"/>
  <c r="A68" i="2"/>
  <c r="A67" i="2"/>
  <c r="A66" i="2"/>
  <c r="A65" i="2"/>
  <c r="A64" i="2"/>
  <c r="A63" i="2"/>
  <c r="A62" i="2"/>
  <c r="A61" i="2"/>
  <c r="A60" i="2"/>
  <c r="A59" i="2"/>
  <c r="A58" i="2"/>
  <c r="A57" i="2"/>
  <c r="A56" i="2"/>
  <c r="A55" i="2"/>
  <c r="A54" i="2"/>
  <c r="A53" i="2"/>
  <c r="A52" i="2"/>
  <c r="A51" i="2"/>
  <c r="A50" i="2"/>
  <c r="A49" i="2"/>
  <c r="A48" i="2"/>
  <c r="A47" i="2"/>
  <c r="A46" i="2"/>
  <c r="A45" i="2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A4" i="2"/>
  <c r="A3" i="2"/>
  <c r="A2" i="2"/>
  <c r="A55" i="1"/>
  <c r="A53" i="1"/>
  <c r="A37" i="1"/>
  <c r="A56" i="1" s="1"/>
  <c r="A36" i="1"/>
  <c r="A35" i="1"/>
  <c r="A54" i="1" s="1"/>
  <c r="A34" i="1"/>
  <c r="A33" i="1"/>
  <c r="A52" i="1" s="1"/>
  <c r="A32" i="1"/>
  <c r="A51" i="1" s="1"/>
  <c r="A31" i="1"/>
  <c r="A50" i="1" s="1"/>
  <c r="A30" i="1"/>
  <c r="A49" i="1" s="1"/>
  <c r="A29" i="1"/>
  <c r="A48" i="1" s="1"/>
  <c r="A28" i="1"/>
  <c r="A47" i="1" s="1"/>
  <c r="A27" i="1"/>
  <c r="A46" i="1" s="1"/>
  <c r="A26" i="1"/>
  <c r="A45" i="1" s="1"/>
  <c r="A25" i="1"/>
  <c r="A24" i="1"/>
  <c r="A43" i="1" s="1"/>
  <c r="A23" i="1"/>
  <c r="A42" i="1" s="1"/>
  <c r="B22" i="1"/>
  <c r="C42" i="1" l="1"/>
  <c r="O42" i="1"/>
  <c r="L43" i="1"/>
  <c r="I44" i="1"/>
  <c r="F45" i="1"/>
  <c r="C46" i="1"/>
  <c r="O46" i="1"/>
  <c r="L47" i="1"/>
  <c r="I48" i="1"/>
  <c r="F49" i="1"/>
  <c r="C50" i="1"/>
  <c r="O50" i="1"/>
  <c r="L51" i="1"/>
  <c r="I52" i="1"/>
  <c r="F53" i="1"/>
  <c r="C54" i="1"/>
  <c r="O54" i="1"/>
  <c r="L55" i="1"/>
  <c r="I56" i="1"/>
  <c r="B46" i="1"/>
  <c r="C23" i="1"/>
  <c r="O23" i="1"/>
  <c r="L24" i="1"/>
  <c r="I25" i="1"/>
  <c r="F26" i="1"/>
  <c r="C27" i="1"/>
  <c r="O27" i="1"/>
  <c r="L28" i="1"/>
  <c r="I29" i="1"/>
  <c r="F30" i="1"/>
  <c r="C31" i="1"/>
  <c r="O31" i="1"/>
  <c r="L32" i="1"/>
  <c r="I33" i="1"/>
  <c r="F34" i="1"/>
  <c r="C35" i="1"/>
  <c r="O35" i="1"/>
  <c r="L36" i="1"/>
  <c r="I37" i="1"/>
  <c r="B28" i="1"/>
  <c r="G52" i="1"/>
  <c r="P30" i="1"/>
  <c r="B26" i="1"/>
  <c r="N46" i="1"/>
  <c r="N54" i="1"/>
  <c r="N27" i="1"/>
  <c r="D42" i="1"/>
  <c r="P42" i="1"/>
  <c r="M43" i="1"/>
  <c r="J44" i="1"/>
  <c r="G45" i="1"/>
  <c r="D46" i="1"/>
  <c r="P46" i="1"/>
  <c r="M47" i="1"/>
  <c r="J48" i="1"/>
  <c r="G49" i="1"/>
  <c r="D50" i="1"/>
  <c r="P50" i="1"/>
  <c r="M51" i="1"/>
  <c r="J52" i="1"/>
  <c r="G53" i="1"/>
  <c r="D54" i="1"/>
  <c r="P54" i="1"/>
  <c r="M55" i="1"/>
  <c r="J56" i="1"/>
  <c r="B47" i="1"/>
  <c r="D23" i="1"/>
  <c r="P23" i="1"/>
  <c r="M24" i="1"/>
  <c r="J25" i="1"/>
  <c r="G26" i="1"/>
  <c r="D27" i="1"/>
  <c r="P27" i="1"/>
  <c r="M28" i="1"/>
  <c r="J29" i="1"/>
  <c r="G30" i="1"/>
  <c r="D31" i="1"/>
  <c r="P31" i="1"/>
  <c r="M32" i="1"/>
  <c r="J33" i="1"/>
  <c r="G34" i="1"/>
  <c r="D35" i="1"/>
  <c r="P35" i="1"/>
  <c r="M36" i="1"/>
  <c r="J37" i="1"/>
  <c r="B29" i="1"/>
  <c r="P49" i="1"/>
  <c r="M27" i="1"/>
  <c r="D34" i="1"/>
  <c r="K43" i="1"/>
  <c r="H52" i="1"/>
  <c r="Q26" i="1"/>
  <c r="N31" i="1"/>
  <c r="K36" i="1"/>
  <c r="E42" i="1"/>
  <c r="Q42" i="1"/>
  <c r="N43" i="1"/>
  <c r="K44" i="1"/>
  <c r="H45" i="1"/>
  <c r="E46" i="1"/>
  <c r="Q46" i="1"/>
  <c r="N47" i="1"/>
  <c r="K48" i="1"/>
  <c r="H49" i="1"/>
  <c r="E50" i="1"/>
  <c r="Q50" i="1"/>
  <c r="N51" i="1"/>
  <c r="K52" i="1"/>
  <c r="H53" i="1"/>
  <c r="E54" i="1"/>
  <c r="Q54" i="1"/>
  <c r="N55" i="1"/>
  <c r="K56" i="1"/>
  <c r="B48" i="1"/>
  <c r="E23" i="1"/>
  <c r="Q23" i="1"/>
  <c r="N24" i="1"/>
  <c r="K25" i="1"/>
  <c r="H26" i="1"/>
  <c r="E27" i="1"/>
  <c r="Q27" i="1"/>
  <c r="N28" i="1"/>
  <c r="K29" i="1"/>
  <c r="H30" i="1"/>
  <c r="E31" i="1"/>
  <c r="Q31" i="1"/>
  <c r="N32" i="1"/>
  <c r="K33" i="1"/>
  <c r="H34" i="1"/>
  <c r="E35" i="1"/>
  <c r="Q35" i="1"/>
  <c r="N36" i="1"/>
  <c r="K37" i="1"/>
  <c r="B30" i="1"/>
  <c r="P36" i="1"/>
  <c r="M37" i="1"/>
  <c r="B32" i="1"/>
  <c r="E36" i="1"/>
  <c r="D45" i="1"/>
  <c r="P53" i="1"/>
  <c r="G25" i="1"/>
  <c r="D30" i="1"/>
  <c r="G33" i="1"/>
  <c r="B23" i="1"/>
  <c r="E45" i="1"/>
  <c r="N50" i="1"/>
  <c r="B42" i="1"/>
  <c r="K32" i="1"/>
  <c r="F42" i="1"/>
  <c r="C43" i="1"/>
  <c r="O43" i="1"/>
  <c r="L44" i="1"/>
  <c r="I45" i="1"/>
  <c r="F46" i="1"/>
  <c r="C47" i="1"/>
  <c r="O47" i="1"/>
  <c r="L48" i="1"/>
  <c r="I49" i="1"/>
  <c r="F50" i="1"/>
  <c r="C51" i="1"/>
  <c r="O51" i="1"/>
  <c r="L52" i="1"/>
  <c r="I53" i="1"/>
  <c r="F54" i="1"/>
  <c r="C55" i="1"/>
  <c r="O55" i="1"/>
  <c r="L56" i="1"/>
  <c r="B49" i="1"/>
  <c r="F23" i="1"/>
  <c r="C24" i="1"/>
  <c r="O24" i="1"/>
  <c r="L25" i="1"/>
  <c r="I26" i="1"/>
  <c r="F27" i="1"/>
  <c r="C28" i="1"/>
  <c r="O28" i="1"/>
  <c r="L29" i="1"/>
  <c r="I30" i="1"/>
  <c r="F31" i="1"/>
  <c r="C32" i="1"/>
  <c r="O32" i="1"/>
  <c r="L33" i="1"/>
  <c r="I34" i="1"/>
  <c r="F35" i="1"/>
  <c r="C36" i="1"/>
  <c r="O36" i="1"/>
  <c r="L37" i="1"/>
  <c r="B31" i="1"/>
  <c r="N33" i="1"/>
  <c r="H35" i="1"/>
  <c r="Q36" i="1"/>
  <c r="J43" i="1"/>
  <c r="J51" i="1"/>
  <c r="P26" i="1"/>
  <c r="J32" i="1"/>
  <c r="G37" i="1"/>
  <c r="Q49" i="1"/>
  <c r="Q53" i="1"/>
  <c r="E26" i="1"/>
  <c r="Q30" i="1"/>
  <c r="Q34" i="1"/>
  <c r="H37" i="1"/>
  <c r="G42" i="1"/>
  <c r="D43" i="1"/>
  <c r="P43" i="1"/>
  <c r="M44" i="1"/>
  <c r="J45" i="1"/>
  <c r="G46" i="1"/>
  <c r="D47" i="1"/>
  <c r="P47" i="1"/>
  <c r="M48" i="1"/>
  <c r="J49" i="1"/>
  <c r="G50" i="1"/>
  <c r="D51" i="1"/>
  <c r="P51" i="1"/>
  <c r="M52" i="1"/>
  <c r="J53" i="1"/>
  <c r="G54" i="1"/>
  <c r="D55" i="1"/>
  <c r="P55" i="1"/>
  <c r="M56" i="1"/>
  <c r="B50" i="1"/>
  <c r="G23" i="1"/>
  <c r="D24" i="1"/>
  <c r="P24" i="1"/>
  <c r="M25" i="1"/>
  <c r="J26" i="1"/>
  <c r="G27" i="1"/>
  <c r="D28" i="1"/>
  <c r="P28" i="1"/>
  <c r="M29" i="1"/>
  <c r="J30" i="1"/>
  <c r="G31" i="1"/>
  <c r="D32" i="1"/>
  <c r="P32" i="1"/>
  <c r="M33" i="1"/>
  <c r="J34" i="1"/>
  <c r="G35" i="1"/>
  <c r="D36" i="1"/>
  <c r="N37" i="1"/>
  <c r="H36" i="1"/>
  <c r="G44" i="1"/>
  <c r="J55" i="1"/>
  <c r="P34" i="1"/>
  <c r="Q45" i="1"/>
  <c r="H56" i="1"/>
  <c r="B27" i="1"/>
  <c r="H42" i="1"/>
  <c r="E43" i="1"/>
  <c r="Q43" i="1"/>
  <c r="N44" i="1"/>
  <c r="K45" i="1"/>
  <c r="H46" i="1"/>
  <c r="E47" i="1"/>
  <c r="Q47" i="1"/>
  <c r="N48" i="1"/>
  <c r="K49" i="1"/>
  <c r="H50" i="1"/>
  <c r="E51" i="1"/>
  <c r="Q51" i="1"/>
  <c r="N52" i="1"/>
  <c r="K53" i="1"/>
  <c r="H54" i="1"/>
  <c r="E55" i="1"/>
  <c r="Q55" i="1"/>
  <c r="N56" i="1"/>
  <c r="B51" i="1"/>
  <c r="H23" i="1"/>
  <c r="E24" i="1"/>
  <c r="Q24" i="1"/>
  <c r="N25" i="1"/>
  <c r="K26" i="1"/>
  <c r="H27" i="1"/>
  <c r="E28" i="1"/>
  <c r="Q28" i="1"/>
  <c r="N29" i="1"/>
  <c r="K30" i="1"/>
  <c r="H31" i="1"/>
  <c r="E32" i="1"/>
  <c r="Q32" i="1"/>
  <c r="K34" i="1"/>
  <c r="B33" i="1"/>
  <c r="E37" i="1"/>
  <c r="J47" i="1"/>
  <c r="J24" i="1"/>
  <c r="M31" i="1"/>
  <c r="J36" i="1"/>
  <c r="H44" i="1"/>
  <c r="N23" i="1"/>
  <c r="H33" i="1"/>
  <c r="I42" i="1"/>
  <c r="F43" i="1"/>
  <c r="C44" i="1"/>
  <c r="O44" i="1"/>
  <c r="L45" i="1"/>
  <c r="I46" i="1"/>
  <c r="F47" i="1"/>
  <c r="C48" i="1"/>
  <c r="O48" i="1"/>
  <c r="L49" i="1"/>
  <c r="I50" i="1"/>
  <c r="F51" i="1"/>
  <c r="C52" i="1"/>
  <c r="O52" i="1"/>
  <c r="L53" i="1"/>
  <c r="I54" i="1"/>
  <c r="F55" i="1"/>
  <c r="C56" i="1"/>
  <c r="O56" i="1"/>
  <c r="B52" i="1"/>
  <c r="I23" i="1"/>
  <c r="F24" i="1"/>
  <c r="C25" i="1"/>
  <c r="O25" i="1"/>
  <c r="L26" i="1"/>
  <c r="I27" i="1"/>
  <c r="F28" i="1"/>
  <c r="C29" i="1"/>
  <c r="O29" i="1"/>
  <c r="L30" i="1"/>
  <c r="I31" i="1"/>
  <c r="F32" i="1"/>
  <c r="C33" i="1"/>
  <c r="O33" i="1"/>
  <c r="L34" i="1"/>
  <c r="I35" i="1"/>
  <c r="F36" i="1"/>
  <c r="C37" i="1"/>
  <c r="O37" i="1"/>
  <c r="B34" i="1"/>
  <c r="J35" i="1"/>
  <c r="D37" i="1"/>
  <c r="B35" i="1"/>
  <c r="K35" i="1"/>
  <c r="B36" i="1"/>
  <c r="P45" i="1"/>
  <c r="D26" i="1"/>
  <c r="M35" i="1"/>
  <c r="N42" i="1"/>
  <c r="K51" i="1"/>
  <c r="K24" i="1"/>
  <c r="H29" i="1"/>
  <c r="N35" i="1"/>
  <c r="J42" i="1"/>
  <c r="G43" i="1"/>
  <c r="D44" i="1"/>
  <c r="P44" i="1"/>
  <c r="M45" i="1"/>
  <c r="J46" i="1"/>
  <c r="G47" i="1"/>
  <c r="D48" i="1"/>
  <c r="P48" i="1"/>
  <c r="M49" i="1"/>
  <c r="J50" i="1"/>
  <c r="G51" i="1"/>
  <c r="D52" i="1"/>
  <c r="P52" i="1"/>
  <c r="M53" i="1"/>
  <c r="J54" i="1"/>
  <c r="G55" i="1"/>
  <c r="D56" i="1"/>
  <c r="P56" i="1"/>
  <c r="B53" i="1"/>
  <c r="J23" i="1"/>
  <c r="G24" i="1"/>
  <c r="D25" i="1"/>
  <c r="P25" i="1"/>
  <c r="M26" i="1"/>
  <c r="J27" i="1"/>
  <c r="G28" i="1"/>
  <c r="D29" i="1"/>
  <c r="P29" i="1"/>
  <c r="M30" i="1"/>
  <c r="J31" i="1"/>
  <c r="G32" i="1"/>
  <c r="D33" i="1"/>
  <c r="P33" i="1"/>
  <c r="M34" i="1"/>
  <c r="G36" i="1"/>
  <c r="P37" i="1"/>
  <c r="N34" i="1"/>
  <c r="Q37" i="1"/>
  <c r="G48" i="1"/>
  <c r="B44" i="1"/>
  <c r="J28" i="1"/>
  <c r="H48" i="1"/>
  <c r="E53" i="1"/>
  <c r="H25" i="1"/>
  <c r="E30" i="1"/>
  <c r="B24" i="1"/>
  <c r="K42" i="1"/>
  <c r="H43" i="1"/>
  <c r="E44" i="1"/>
  <c r="Q44" i="1"/>
  <c r="N45" i="1"/>
  <c r="K46" i="1"/>
  <c r="H47" i="1"/>
  <c r="E48" i="1"/>
  <c r="Q48" i="1"/>
  <c r="N49" i="1"/>
  <c r="K50" i="1"/>
  <c r="H51" i="1"/>
  <c r="E52" i="1"/>
  <c r="Q52" i="1"/>
  <c r="N53" i="1"/>
  <c r="K54" i="1"/>
  <c r="H55" i="1"/>
  <c r="E56" i="1"/>
  <c r="Q56" i="1"/>
  <c r="B54" i="1"/>
  <c r="K23" i="1"/>
  <c r="H24" i="1"/>
  <c r="E25" i="1"/>
  <c r="Q25" i="1"/>
  <c r="N26" i="1"/>
  <c r="K27" i="1"/>
  <c r="H28" i="1"/>
  <c r="E29" i="1"/>
  <c r="Q29" i="1"/>
  <c r="N30" i="1"/>
  <c r="K31" i="1"/>
  <c r="H32" i="1"/>
  <c r="E33" i="1"/>
  <c r="Q33" i="1"/>
  <c r="M46" i="1"/>
  <c r="M54" i="1"/>
  <c r="B56" i="1"/>
  <c r="E49" i="1"/>
  <c r="B45" i="1"/>
  <c r="K28" i="1"/>
  <c r="L42" i="1"/>
  <c r="I43" i="1"/>
  <c r="F44" i="1"/>
  <c r="C45" i="1"/>
  <c r="O45" i="1"/>
  <c r="L46" i="1"/>
  <c r="I47" i="1"/>
  <c r="F48" i="1"/>
  <c r="C49" i="1"/>
  <c r="O49" i="1"/>
  <c r="L50" i="1"/>
  <c r="I51" i="1"/>
  <c r="F52" i="1"/>
  <c r="C53" i="1"/>
  <c r="O53" i="1"/>
  <c r="L54" i="1"/>
  <c r="I55" i="1"/>
  <c r="F56" i="1"/>
  <c r="B43" i="1"/>
  <c r="B55" i="1"/>
  <c r="L23" i="1"/>
  <c r="I24" i="1"/>
  <c r="F25" i="1"/>
  <c r="C26" i="1"/>
  <c r="O26" i="1"/>
  <c r="L27" i="1"/>
  <c r="I28" i="1"/>
  <c r="F29" i="1"/>
  <c r="C30" i="1"/>
  <c r="O30" i="1"/>
  <c r="L31" i="1"/>
  <c r="I32" i="1"/>
  <c r="F33" i="1"/>
  <c r="C34" i="1"/>
  <c r="O34" i="1"/>
  <c r="L35" i="1"/>
  <c r="I36" i="1"/>
  <c r="F37" i="1"/>
  <c r="B25" i="1"/>
  <c r="B37" i="1"/>
  <c r="M42" i="1"/>
  <c r="D49" i="1"/>
  <c r="M50" i="1"/>
  <c r="D53" i="1"/>
  <c r="G56" i="1"/>
  <c r="M23" i="1"/>
  <c r="G29" i="1"/>
  <c r="K47" i="1"/>
  <c r="K55" i="1"/>
  <c r="E34" i="1"/>
  <c r="AH16" i="1"/>
  <c r="AI15" i="1"/>
  <c r="AI14" i="1" s="1"/>
  <c r="A44" i="1"/>
  <c r="B41" i="1"/>
  <c r="AG16" i="1" l="1"/>
  <c r="AH15" i="1"/>
  <c r="AH14" i="1" s="1"/>
  <c r="AI13" i="1"/>
  <c r="AI12" i="1" s="1"/>
  <c r="AI11" i="1" s="1"/>
  <c r="AI10" i="1" s="1"/>
  <c r="AI9" i="1" s="1"/>
  <c r="AI8" i="1" s="1"/>
  <c r="AI7" i="1" s="1"/>
  <c r="AI6" i="1" s="1"/>
  <c r="AI5" i="1" s="1"/>
  <c r="AI4" i="1" s="1"/>
  <c r="AI3" i="1" s="1"/>
  <c r="AI2" i="1" s="1"/>
  <c r="AH13" i="1" l="1"/>
  <c r="AH12" i="1" s="1"/>
  <c r="AH11" i="1" s="1"/>
  <c r="AH10" i="1" s="1"/>
  <c r="AH9" i="1" s="1"/>
  <c r="AH8" i="1" s="1"/>
  <c r="AH7" i="1" s="1"/>
  <c r="AH6" i="1" s="1"/>
  <c r="AH5" i="1" s="1"/>
  <c r="AH4" i="1" s="1"/>
  <c r="AH3" i="1" s="1"/>
  <c r="AH2" i="1" s="1"/>
  <c r="AF16" i="1"/>
  <c r="AE16" i="1" s="1"/>
  <c r="AG15" i="1"/>
  <c r="AF15" i="1" l="1"/>
  <c r="AG14" i="1"/>
  <c r="AG13" i="1" s="1"/>
  <c r="AG12" i="1" s="1"/>
  <c r="AG11" i="1" s="1"/>
  <c r="AG10" i="1" s="1"/>
  <c r="AG9" i="1" s="1"/>
  <c r="AG8" i="1" s="1"/>
  <c r="AG7" i="1" s="1"/>
  <c r="AG6" i="1" s="1"/>
  <c r="AG5" i="1" s="1"/>
  <c r="AG4" i="1" s="1"/>
  <c r="AG3" i="1" s="1"/>
  <c r="AG2" i="1" s="1"/>
  <c r="AD16" i="1"/>
  <c r="AE15" i="1"/>
  <c r="AC16" i="1" l="1"/>
  <c r="AD15" i="1"/>
  <c r="AF14" i="1"/>
  <c r="AF13" i="1" l="1"/>
  <c r="AF12" i="1" s="1"/>
  <c r="AF11" i="1" s="1"/>
  <c r="AF10" i="1" s="1"/>
  <c r="AF9" i="1" s="1"/>
  <c r="AF8" i="1" s="1"/>
  <c r="AF7" i="1" s="1"/>
  <c r="AF6" i="1" s="1"/>
  <c r="AF5" i="1" s="1"/>
  <c r="AF4" i="1" s="1"/>
  <c r="AF3" i="1" s="1"/>
  <c r="AF2" i="1" s="1"/>
  <c r="AE14" i="1"/>
  <c r="AB16" i="1"/>
  <c r="AC15" i="1"/>
  <c r="AA16" i="1" l="1"/>
  <c r="AB15" i="1"/>
  <c r="AE13" i="1"/>
  <c r="AE12" i="1" s="1"/>
  <c r="AE11" i="1" s="1"/>
  <c r="AE10" i="1" s="1"/>
  <c r="AE9" i="1" s="1"/>
  <c r="AE8" i="1" s="1"/>
  <c r="AE7" i="1" s="1"/>
  <c r="AE6" i="1" s="1"/>
  <c r="AE5" i="1" s="1"/>
  <c r="AE4" i="1" s="1"/>
  <c r="AE3" i="1" s="1"/>
  <c r="AE2" i="1" s="1"/>
  <c r="AD14" i="1"/>
  <c r="AD13" i="1" l="1"/>
  <c r="AD12" i="1" s="1"/>
  <c r="AD11" i="1" s="1"/>
  <c r="AD10" i="1" s="1"/>
  <c r="AD9" i="1" s="1"/>
  <c r="AD8" i="1" s="1"/>
  <c r="AD7" i="1" s="1"/>
  <c r="AD6" i="1" s="1"/>
  <c r="AD5" i="1" s="1"/>
  <c r="AD4" i="1" s="1"/>
  <c r="AD3" i="1" s="1"/>
  <c r="AD2" i="1" s="1"/>
  <c r="AC14" i="1"/>
  <c r="AA15" i="1"/>
  <c r="AC13" i="1" l="1"/>
  <c r="AC12" i="1" s="1"/>
  <c r="AC11" i="1" s="1"/>
  <c r="AC10" i="1" s="1"/>
  <c r="AC9" i="1" s="1"/>
  <c r="AC8" i="1" s="1"/>
  <c r="AC7" i="1" s="1"/>
  <c r="AC6" i="1" s="1"/>
  <c r="AC5" i="1" s="1"/>
  <c r="AC4" i="1" s="1"/>
  <c r="AC3" i="1" s="1"/>
  <c r="AC2" i="1" s="1"/>
  <c r="AB14" i="1"/>
  <c r="AB13" i="1" s="1"/>
  <c r="AB12" i="1" s="1"/>
  <c r="AB11" i="1" l="1"/>
  <c r="AB10" i="1" s="1"/>
  <c r="AB9" i="1" s="1"/>
  <c r="AB8" i="1" s="1"/>
  <c r="AB7" i="1" s="1"/>
  <c r="AB6" i="1" s="1"/>
  <c r="AB5" i="1" s="1"/>
  <c r="AB4" i="1" s="1"/>
  <c r="AB3" i="1" s="1"/>
  <c r="AB2" i="1" s="1"/>
  <c r="AA14" i="1"/>
  <c r="AA13" i="1" s="1"/>
  <c r="AA12" i="1" s="1"/>
  <c r="AA11" i="1" s="1"/>
  <c r="AA10" i="1" s="1"/>
  <c r="AA9" i="1" s="1"/>
  <c r="AA8" i="1" s="1"/>
  <c r="AA7" i="1" s="1"/>
  <c r="AA6" i="1" s="1"/>
  <c r="AA5" i="1" s="1"/>
  <c r="AA4" i="1" s="1"/>
  <c r="AA3" i="1" s="1"/>
  <c r="AA2" i="1" s="1"/>
</calcChain>
</file>

<file path=xl/sharedStrings.xml><?xml version="1.0" encoding="utf-8"?>
<sst xmlns="http://schemas.openxmlformats.org/spreadsheetml/2006/main" count="1306" uniqueCount="68">
  <si>
    <t>stage_num</t>
  </si>
  <si>
    <t>comp</t>
  </si>
  <si>
    <t>freq</t>
  </si>
  <si>
    <t>freq_dimm</t>
  </si>
  <si>
    <t>p_in</t>
  </si>
  <si>
    <t>p_in_result</t>
  </si>
  <si>
    <t>p_out</t>
  </si>
  <si>
    <t>p_out_diff</t>
  </si>
  <si>
    <t>p_target</t>
  </si>
  <si>
    <t>power</t>
  </si>
  <si>
    <t>q_rate</t>
  </si>
  <si>
    <t>target</t>
  </si>
  <si>
    <t>title</t>
  </si>
  <si>
    <t>udal</t>
  </si>
  <si>
    <t>volume_rate</t>
  </si>
  <si>
    <t>work_gpa</t>
  </si>
  <si>
    <t>./DKS_math/Test/spch_dimkoef/ГПА-16 40-2,5 Южно-Русское.csv</t>
  </si>
  <si>
    <t>./DKS_math/Test/spch_dimkoef/ГПА-16 76-2,2 (01) ЮжРус(новая).csv</t>
  </si>
  <si>
    <t>76-1.44</t>
  </si>
  <si>
    <t>76 1.7</t>
  </si>
  <si>
    <t>76 2.2</t>
  </si>
  <si>
    <t>76-3.0</t>
  </si>
  <si>
    <t>16-41-2.2+76-3.0</t>
  </si>
  <si>
    <t>{</t>
  </si>
  <si>
    <t>6.0:</t>
  </si>
  <si>
    <t>20.0:</t>
  </si>
  <si>
    <t>25.0:</t>
  </si>
  <si>
    <t>30.0:</t>
  </si>
  <si>
    <t>35.0:</t>
  </si>
  <si>
    <t>40.0:</t>
  </si>
  <si>
    <t>45.0:</t>
  </si>
  <si>
    <t>50.0:</t>
  </si>
  <si>
    <t>55.0:</t>
  </si>
  <si>
    <t>60.0:</t>
  </si>
  <si>
    <t>65.0:</t>
  </si>
  <si>
    <t>70.0:</t>
  </si>
  <si>
    <t>}</t>
  </si>
  <si>
    <t>6.1:</t>
  </si>
  <si>
    <t>6.2:</t>
  </si>
  <si>
    <t>6.3:</t>
  </si>
  <si>
    <t>6.4:</t>
  </si>
  <si>
    <t>6.5:</t>
  </si>
  <si>
    <t>6.6:</t>
  </si>
  <si>
    <t>6.7:</t>
  </si>
  <si>
    <t>6.8:</t>
  </si>
  <si>
    <t>6.9:</t>
  </si>
  <si>
    <t>7.0:</t>
  </si>
  <si>
    <t>7.1:</t>
  </si>
  <si>
    <t>7.2:</t>
  </si>
  <si>
    <t>7.3:</t>
  </si>
  <si>
    <t>7.4:</t>
  </si>
  <si>
    <t>75.0:</t>
  </si>
  <si>
    <t>80.0:</t>
  </si>
  <si>
    <t>85.0:</t>
  </si>
  <si>
    <t>90.0:</t>
  </si>
  <si>
    <t>95.0:</t>
  </si>
  <si>
    <t>100.0:</t>
  </si>
  <si>
    <t>105.0:</t>
  </si>
  <si>
    <t>110.0:</t>
  </si>
  <si>
    <t>115.0:</t>
  </si>
  <si>
    <t>index:</t>
  </si>
  <si>
    <t>[</t>
  </si>
  <si>
    <t>]</t>
  </si>
  <si>
    <t>columns:</t>
  </si>
  <si>
    <t>ГПА 16-76 2.2:</t>
  </si>
  <si>
    <t>null</t>
  </si>
  <si>
    <t>СПЧ 76-3.0 (Губа):</t>
  </si>
  <si>
    <t>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</si>
</sst>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CE9178"/>
      <name val="Consolas"/>
      <family val="3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1" fillId="0" borderId="0" xfId="0" applyFont="1" applyFill="1" applyBorder="1" applyAlignment="1">
      <alignment horizontal="center" vertical="top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0" borderId="0" xfId="0" applyFont="1" applyBorder="1" applyAlignment="1">
      <alignment horizontal="center" vertical="top"/>
    </xf>
    <xf numFmtId="2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Лист1!$N$1</c:f>
              <c:strCache>
                <c:ptCount val="1"/>
                <c:pt idx="0">
                  <c:v>5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Лист1!$AA$2:$AA$16</c:f>
              <c:numCache>
                <c:formatCode>General</c:formatCode>
                <c:ptCount val="15"/>
                <c:pt idx="0">
                  <c:v>0.84</c:v>
                </c:pt>
                <c:pt idx="1">
                  <c:v>1.67</c:v>
                </c:pt>
                <c:pt idx="2">
                  <c:v>1.79</c:v>
                </c:pt>
                <c:pt idx="3">
                  <c:v>1.79</c:v>
                </c:pt>
                <c:pt idx="4">
                  <c:v>1.79</c:v>
                </c:pt>
                <c:pt idx="5">
                  <c:v>1.79</c:v>
                </c:pt>
                <c:pt idx="6">
                  <c:v>2.1</c:v>
                </c:pt>
                <c:pt idx="7">
                  <c:v>2.46</c:v>
                </c:pt>
                <c:pt idx="8">
                  <c:v>2.52</c:v>
                </c:pt>
                <c:pt idx="9">
                  <c:v>2.52</c:v>
                </c:pt>
                <c:pt idx="10">
                  <c:v>2.52</c:v>
                </c:pt>
                <c:pt idx="11">
                  <c:v>2.52</c:v>
                </c:pt>
                <c:pt idx="12">
                  <c:v>2.52</c:v>
                </c:pt>
                <c:pt idx="13">
                  <c:v>2.78</c:v>
                </c:pt>
                <c:pt idx="14">
                  <c:v>3.03</c:v>
                </c:pt>
              </c:numCache>
            </c:numRef>
          </c:xVal>
          <c:yVal>
            <c:numRef>
              <c:f>Лист1!$M$2:$M$16</c:f>
              <c:numCache>
                <c:formatCode>General</c:formatCode>
                <c:ptCount val="15"/>
                <c:pt idx="0">
                  <c:v>10</c:v>
                </c:pt>
                <c:pt idx="1">
                  <c:v>14</c:v>
                </c:pt>
                <c:pt idx="2">
                  <c:v>18</c:v>
                </c:pt>
                <c:pt idx="3">
                  <c:v>22</c:v>
                </c:pt>
                <c:pt idx="4">
                  <c:v>26</c:v>
                </c:pt>
                <c:pt idx="5">
                  <c:v>30</c:v>
                </c:pt>
                <c:pt idx="6">
                  <c:v>34</c:v>
                </c:pt>
                <c:pt idx="7">
                  <c:v>38</c:v>
                </c:pt>
                <c:pt idx="8">
                  <c:v>42</c:v>
                </c:pt>
                <c:pt idx="9">
                  <c:v>46</c:v>
                </c:pt>
                <c:pt idx="10">
                  <c:v>50</c:v>
                </c:pt>
                <c:pt idx="11">
                  <c:v>54</c:v>
                </c:pt>
                <c:pt idx="12">
                  <c:v>58</c:v>
                </c:pt>
                <c:pt idx="13">
                  <c:v>62</c:v>
                </c:pt>
                <c:pt idx="14">
                  <c:v>66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Лист1!$O$1</c:f>
              <c:strCache>
                <c:ptCount val="1"/>
                <c:pt idx="0">
                  <c:v>5,1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Лист1!$AB$2:$AB$16</c:f>
              <c:numCache>
                <c:formatCode>General</c:formatCode>
                <c:ptCount val="15"/>
                <c:pt idx="0">
                  <c:v>0.84</c:v>
                </c:pt>
                <c:pt idx="1">
                  <c:v>1.67</c:v>
                </c:pt>
                <c:pt idx="2">
                  <c:v>1.79</c:v>
                </c:pt>
                <c:pt idx="3">
                  <c:v>1.79</c:v>
                </c:pt>
                <c:pt idx="4">
                  <c:v>1.79</c:v>
                </c:pt>
                <c:pt idx="5">
                  <c:v>1.79</c:v>
                </c:pt>
                <c:pt idx="6">
                  <c:v>2.1</c:v>
                </c:pt>
                <c:pt idx="7">
                  <c:v>2.46</c:v>
                </c:pt>
                <c:pt idx="8">
                  <c:v>2.52</c:v>
                </c:pt>
                <c:pt idx="9">
                  <c:v>2.52</c:v>
                </c:pt>
                <c:pt idx="10">
                  <c:v>2.52</c:v>
                </c:pt>
                <c:pt idx="11">
                  <c:v>2.52</c:v>
                </c:pt>
                <c:pt idx="12">
                  <c:v>2.52</c:v>
                </c:pt>
                <c:pt idx="13">
                  <c:v>2.78</c:v>
                </c:pt>
                <c:pt idx="14">
                  <c:v>3.03</c:v>
                </c:pt>
              </c:numCache>
            </c:numRef>
          </c:xVal>
          <c:yVal>
            <c:numRef>
              <c:f>Лист1!$M$2:$M$16</c:f>
              <c:numCache>
                <c:formatCode>General</c:formatCode>
                <c:ptCount val="15"/>
                <c:pt idx="0">
                  <c:v>10</c:v>
                </c:pt>
                <c:pt idx="1">
                  <c:v>14</c:v>
                </c:pt>
                <c:pt idx="2">
                  <c:v>18</c:v>
                </c:pt>
                <c:pt idx="3">
                  <c:v>22</c:v>
                </c:pt>
                <c:pt idx="4">
                  <c:v>26</c:v>
                </c:pt>
                <c:pt idx="5">
                  <c:v>30</c:v>
                </c:pt>
                <c:pt idx="6">
                  <c:v>34</c:v>
                </c:pt>
                <c:pt idx="7">
                  <c:v>38</c:v>
                </c:pt>
                <c:pt idx="8">
                  <c:v>42</c:v>
                </c:pt>
                <c:pt idx="9">
                  <c:v>46</c:v>
                </c:pt>
                <c:pt idx="10">
                  <c:v>50</c:v>
                </c:pt>
                <c:pt idx="11">
                  <c:v>54</c:v>
                </c:pt>
                <c:pt idx="12">
                  <c:v>58</c:v>
                </c:pt>
                <c:pt idx="13">
                  <c:v>62</c:v>
                </c:pt>
                <c:pt idx="14">
                  <c:v>66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Лист1!$P$1</c:f>
              <c:strCache>
                <c:ptCount val="1"/>
                <c:pt idx="0">
                  <c:v>5,2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Лист1!$AC$2:$AC$16</c:f>
              <c:numCache>
                <c:formatCode>General</c:formatCode>
                <c:ptCount val="15"/>
                <c:pt idx="0">
                  <c:v>1.2</c:v>
                </c:pt>
                <c:pt idx="1">
                  <c:v>1.67</c:v>
                </c:pt>
                <c:pt idx="2">
                  <c:v>1.79</c:v>
                </c:pt>
                <c:pt idx="3">
                  <c:v>1.79</c:v>
                </c:pt>
                <c:pt idx="4">
                  <c:v>1.79</c:v>
                </c:pt>
                <c:pt idx="5">
                  <c:v>1.79</c:v>
                </c:pt>
                <c:pt idx="6">
                  <c:v>2.1</c:v>
                </c:pt>
                <c:pt idx="7">
                  <c:v>2.46</c:v>
                </c:pt>
                <c:pt idx="8">
                  <c:v>2.52</c:v>
                </c:pt>
                <c:pt idx="9">
                  <c:v>2.52</c:v>
                </c:pt>
                <c:pt idx="10">
                  <c:v>2.52</c:v>
                </c:pt>
                <c:pt idx="11">
                  <c:v>2.52</c:v>
                </c:pt>
                <c:pt idx="12">
                  <c:v>2.52</c:v>
                </c:pt>
                <c:pt idx="13">
                  <c:v>2.78</c:v>
                </c:pt>
                <c:pt idx="14">
                  <c:v>3.03</c:v>
                </c:pt>
              </c:numCache>
            </c:numRef>
          </c:xVal>
          <c:yVal>
            <c:numRef>
              <c:f>Лист1!$M$2:$M$16</c:f>
              <c:numCache>
                <c:formatCode>General</c:formatCode>
                <c:ptCount val="15"/>
                <c:pt idx="0">
                  <c:v>10</c:v>
                </c:pt>
                <c:pt idx="1">
                  <c:v>14</c:v>
                </c:pt>
                <c:pt idx="2">
                  <c:v>18</c:v>
                </c:pt>
                <c:pt idx="3">
                  <c:v>22</c:v>
                </c:pt>
                <c:pt idx="4">
                  <c:v>26</c:v>
                </c:pt>
                <c:pt idx="5">
                  <c:v>30</c:v>
                </c:pt>
                <c:pt idx="6">
                  <c:v>34</c:v>
                </c:pt>
                <c:pt idx="7">
                  <c:v>38</c:v>
                </c:pt>
                <c:pt idx="8">
                  <c:v>42</c:v>
                </c:pt>
                <c:pt idx="9">
                  <c:v>46</c:v>
                </c:pt>
                <c:pt idx="10">
                  <c:v>50</c:v>
                </c:pt>
                <c:pt idx="11">
                  <c:v>54</c:v>
                </c:pt>
                <c:pt idx="12">
                  <c:v>58</c:v>
                </c:pt>
                <c:pt idx="13">
                  <c:v>62</c:v>
                </c:pt>
                <c:pt idx="14">
                  <c:v>66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Лист1!$Q$1</c:f>
              <c:strCache>
                <c:ptCount val="1"/>
                <c:pt idx="0">
                  <c:v>5,3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Лист1!$AD$2:$AD$16</c:f>
              <c:numCache>
                <c:formatCode>General</c:formatCode>
                <c:ptCount val="15"/>
                <c:pt idx="0">
                  <c:v>1.21</c:v>
                </c:pt>
                <c:pt idx="1">
                  <c:v>1.79</c:v>
                </c:pt>
                <c:pt idx="2">
                  <c:v>1.79</c:v>
                </c:pt>
                <c:pt idx="3">
                  <c:v>1.79</c:v>
                </c:pt>
                <c:pt idx="4">
                  <c:v>1.79</c:v>
                </c:pt>
                <c:pt idx="5">
                  <c:v>1.79</c:v>
                </c:pt>
                <c:pt idx="6">
                  <c:v>2.17</c:v>
                </c:pt>
                <c:pt idx="7">
                  <c:v>2.46</c:v>
                </c:pt>
                <c:pt idx="8">
                  <c:v>2.52</c:v>
                </c:pt>
                <c:pt idx="9">
                  <c:v>2.52</c:v>
                </c:pt>
                <c:pt idx="10">
                  <c:v>2.52</c:v>
                </c:pt>
                <c:pt idx="11">
                  <c:v>2.52</c:v>
                </c:pt>
                <c:pt idx="12">
                  <c:v>2.52</c:v>
                </c:pt>
                <c:pt idx="13">
                  <c:v>2.78</c:v>
                </c:pt>
                <c:pt idx="14">
                  <c:v>3.03</c:v>
                </c:pt>
              </c:numCache>
            </c:numRef>
          </c:xVal>
          <c:yVal>
            <c:numRef>
              <c:f>Лист1!$M$2:$M$16</c:f>
              <c:numCache>
                <c:formatCode>General</c:formatCode>
                <c:ptCount val="15"/>
                <c:pt idx="0">
                  <c:v>10</c:v>
                </c:pt>
                <c:pt idx="1">
                  <c:v>14</c:v>
                </c:pt>
                <c:pt idx="2">
                  <c:v>18</c:v>
                </c:pt>
                <c:pt idx="3">
                  <c:v>22</c:v>
                </c:pt>
                <c:pt idx="4">
                  <c:v>26</c:v>
                </c:pt>
                <c:pt idx="5">
                  <c:v>30</c:v>
                </c:pt>
                <c:pt idx="6">
                  <c:v>34</c:v>
                </c:pt>
                <c:pt idx="7">
                  <c:v>38</c:v>
                </c:pt>
                <c:pt idx="8">
                  <c:v>42</c:v>
                </c:pt>
                <c:pt idx="9">
                  <c:v>46</c:v>
                </c:pt>
                <c:pt idx="10">
                  <c:v>50</c:v>
                </c:pt>
                <c:pt idx="11">
                  <c:v>54</c:v>
                </c:pt>
                <c:pt idx="12">
                  <c:v>58</c:v>
                </c:pt>
                <c:pt idx="13">
                  <c:v>62</c:v>
                </c:pt>
                <c:pt idx="14">
                  <c:v>66</c:v>
                </c:pt>
              </c:numCache>
            </c:numRef>
          </c:yVal>
          <c:smooth val="1"/>
        </c:ser>
        <c:ser>
          <c:idx val="4"/>
          <c:order val="4"/>
          <c:tx>
            <c:strRef>
              <c:f>Лист1!$R$1</c:f>
              <c:strCache>
                <c:ptCount val="1"/>
                <c:pt idx="0">
                  <c:v>5,4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Лист1!$AE$2:$AE$16</c:f>
              <c:numCache>
                <c:formatCode>General</c:formatCode>
                <c:ptCount val="15"/>
                <c:pt idx="0">
                  <c:v>1.22</c:v>
                </c:pt>
                <c:pt idx="1">
                  <c:v>1.85</c:v>
                </c:pt>
                <c:pt idx="2">
                  <c:v>1.85</c:v>
                </c:pt>
                <c:pt idx="3">
                  <c:v>1.85</c:v>
                </c:pt>
                <c:pt idx="4">
                  <c:v>1.85</c:v>
                </c:pt>
                <c:pt idx="5">
                  <c:v>1.85</c:v>
                </c:pt>
                <c:pt idx="6">
                  <c:v>2.17</c:v>
                </c:pt>
                <c:pt idx="7">
                  <c:v>2.46</c:v>
                </c:pt>
                <c:pt idx="8">
                  <c:v>2.52</c:v>
                </c:pt>
                <c:pt idx="9">
                  <c:v>2.52</c:v>
                </c:pt>
                <c:pt idx="10">
                  <c:v>2.52</c:v>
                </c:pt>
                <c:pt idx="11">
                  <c:v>2.52</c:v>
                </c:pt>
                <c:pt idx="12">
                  <c:v>2.52</c:v>
                </c:pt>
                <c:pt idx="13">
                  <c:v>2.78</c:v>
                </c:pt>
                <c:pt idx="14">
                  <c:v>3.03</c:v>
                </c:pt>
              </c:numCache>
            </c:numRef>
          </c:xVal>
          <c:yVal>
            <c:numRef>
              <c:f>Лист1!$M$2:$M$16</c:f>
              <c:numCache>
                <c:formatCode>General</c:formatCode>
                <c:ptCount val="15"/>
                <c:pt idx="0">
                  <c:v>10</c:v>
                </c:pt>
                <c:pt idx="1">
                  <c:v>14</c:v>
                </c:pt>
                <c:pt idx="2">
                  <c:v>18</c:v>
                </c:pt>
                <c:pt idx="3">
                  <c:v>22</c:v>
                </c:pt>
                <c:pt idx="4">
                  <c:v>26</c:v>
                </c:pt>
                <c:pt idx="5">
                  <c:v>30</c:v>
                </c:pt>
                <c:pt idx="6">
                  <c:v>34</c:v>
                </c:pt>
                <c:pt idx="7">
                  <c:v>38</c:v>
                </c:pt>
                <c:pt idx="8">
                  <c:v>42</c:v>
                </c:pt>
                <c:pt idx="9">
                  <c:v>46</c:v>
                </c:pt>
                <c:pt idx="10">
                  <c:v>50</c:v>
                </c:pt>
                <c:pt idx="11">
                  <c:v>54</c:v>
                </c:pt>
                <c:pt idx="12">
                  <c:v>58</c:v>
                </c:pt>
                <c:pt idx="13">
                  <c:v>62</c:v>
                </c:pt>
                <c:pt idx="14">
                  <c:v>66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7610080"/>
        <c:axId val="40119520"/>
      </c:scatterChart>
      <c:valAx>
        <c:axId val="5976100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0119520"/>
        <c:crosses val="autoZero"/>
        <c:crossBetween val="midCat"/>
      </c:valAx>
      <c:valAx>
        <c:axId val="40119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976100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7580927384076995E-2"/>
          <c:y val="5.5555555555555552E-2"/>
          <c:w val="0.88386351706036748"/>
          <c:h val="0.8416746864975212"/>
        </c:manualLayout>
      </c:layout>
      <c:scatterChart>
        <c:scatterStyle val="smoothMarker"/>
        <c:varyColors val="0"/>
        <c:ser>
          <c:idx val="0"/>
          <c:order val="0"/>
          <c:tx>
            <c:strRef>
              <c:f>Лист3!$B$1</c:f>
              <c:strCache>
                <c:ptCount val="1"/>
                <c:pt idx="0">
                  <c:v>5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Лист3!$V$26:$V$45</c:f>
              <c:numCache>
                <c:formatCode>General</c:formatCode>
                <c:ptCount val="20"/>
                <c:pt idx="0">
                  <c:v>1.85</c:v>
                </c:pt>
                <c:pt idx="1">
                  <c:v>1.85</c:v>
                </c:pt>
                <c:pt idx="2">
                  <c:v>1.85</c:v>
                </c:pt>
                <c:pt idx="3">
                  <c:v>2.4300000000000002</c:v>
                </c:pt>
                <c:pt idx="4">
                  <c:v>2.65</c:v>
                </c:pt>
                <c:pt idx="5">
                  <c:v>2.65</c:v>
                </c:pt>
                <c:pt idx="6">
                  <c:v>2.65</c:v>
                </c:pt>
                <c:pt idx="7">
                  <c:v>2.65</c:v>
                </c:pt>
                <c:pt idx="8">
                  <c:v>2.65</c:v>
                </c:pt>
                <c:pt idx="9">
                  <c:v>2.97</c:v>
                </c:pt>
                <c:pt idx="10">
                  <c:v>3.19</c:v>
                </c:pt>
                <c:pt idx="11">
                  <c:v>3.19</c:v>
                </c:pt>
                <c:pt idx="12">
                  <c:v>3.19</c:v>
                </c:pt>
                <c:pt idx="13">
                  <c:v>3.19</c:v>
                </c:pt>
                <c:pt idx="14">
                  <c:v>3.19</c:v>
                </c:pt>
                <c:pt idx="15">
                  <c:v>3.38</c:v>
                </c:pt>
                <c:pt idx="16">
                  <c:v>3.45</c:v>
                </c:pt>
                <c:pt idx="17">
                  <c:v>3.88</c:v>
                </c:pt>
                <c:pt idx="18">
                  <c:v>3.91</c:v>
                </c:pt>
                <c:pt idx="19">
                  <c:v>3.91</c:v>
                </c:pt>
              </c:numCache>
            </c:numRef>
          </c:xVal>
          <c:yVal>
            <c:numRef>
              <c:f>Лист3!$A$2:$A$21</c:f>
              <c:numCache>
                <c:formatCode>General</c:formatCode>
                <c:ptCount val="20"/>
                <c:pt idx="0">
                  <c:v>20</c:v>
                </c:pt>
                <c:pt idx="1">
                  <c:v>25</c:v>
                </c:pt>
                <c:pt idx="2">
                  <c:v>30</c:v>
                </c:pt>
                <c:pt idx="3">
                  <c:v>35</c:v>
                </c:pt>
                <c:pt idx="4">
                  <c:v>40</c:v>
                </c:pt>
                <c:pt idx="5">
                  <c:v>45</c:v>
                </c:pt>
                <c:pt idx="6">
                  <c:v>50</c:v>
                </c:pt>
                <c:pt idx="7">
                  <c:v>55</c:v>
                </c:pt>
                <c:pt idx="8">
                  <c:v>60</c:v>
                </c:pt>
                <c:pt idx="9">
                  <c:v>65</c:v>
                </c:pt>
                <c:pt idx="10">
                  <c:v>70</c:v>
                </c:pt>
                <c:pt idx="11">
                  <c:v>75</c:v>
                </c:pt>
                <c:pt idx="12">
                  <c:v>80</c:v>
                </c:pt>
                <c:pt idx="13">
                  <c:v>85</c:v>
                </c:pt>
                <c:pt idx="14">
                  <c:v>90</c:v>
                </c:pt>
                <c:pt idx="15">
                  <c:v>95</c:v>
                </c:pt>
                <c:pt idx="16">
                  <c:v>100</c:v>
                </c:pt>
                <c:pt idx="17">
                  <c:v>105</c:v>
                </c:pt>
                <c:pt idx="18">
                  <c:v>110</c:v>
                </c:pt>
                <c:pt idx="19">
                  <c:v>115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Лист3!$B$1</c:f>
              <c:strCache>
                <c:ptCount val="1"/>
                <c:pt idx="0">
                  <c:v>5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Лист3!$W$26:$W$45</c:f>
              <c:numCache>
                <c:formatCode>General</c:formatCode>
                <c:ptCount val="20"/>
                <c:pt idx="0">
                  <c:v>1.65</c:v>
                </c:pt>
                <c:pt idx="1">
                  <c:v>1.65</c:v>
                </c:pt>
                <c:pt idx="2">
                  <c:v>2.0499999999999998</c:v>
                </c:pt>
                <c:pt idx="3">
                  <c:v>2.0499999999999998</c:v>
                </c:pt>
                <c:pt idx="4">
                  <c:v>2.0499999999999998</c:v>
                </c:pt>
                <c:pt idx="5">
                  <c:v>2.0499999999999998</c:v>
                </c:pt>
                <c:pt idx="6">
                  <c:v>2.0499999999999998</c:v>
                </c:pt>
                <c:pt idx="7">
                  <c:v>2.23</c:v>
                </c:pt>
                <c:pt idx="8">
                  <c:v>2.23</c:v>
                </c:pt>
                <c:pt idx="9">
                  <c:v>2.23</c:v>
                </c:pt>
                <c:pt idx="10">
                  <c:v>2.4300000000000002</c:v>
                </c:pt>
                <c:pt idx="11">
                  <c:v>2.4300000000000002</c:v>
                </c:pt>
                <c:pt idx="12">
                  <c:v>2.4300000000000002</c:v>
                </c:pt>
                <c:pt idx="13">
                  <c:v>2.4300000000000002</c:v>
                </c:pt>
                <c:pt idx="14">
                  <c:v>2.87</c:v>
                </c:pt>
                <c:pt idx="15">
                  <c:v>2.87</c:v>
                </c:pt>
                <c:pt idx="16">
                  <c:v>2.87</c:v>
                </c:pt>
                <c:pt idx="17">
                  <c:v>2.87</c:v>
                </c:pt>
                <c:pt idx="18">
                  <c:v>2.87</c:v>
                </c:pt>
                <c:pt idx="19">
                  <c:v>3.32</c:v>
                </c:pt>
              </c:numCache>
            </c:numRef>
          </c:xVal>
          <c:yVal>
            <c:numRef>
              <c:f>Лист3!$A$2:$A$21</c:f>
              <c:numCache>
                <c:formatCode>General</c:formatCode>
                <c:ptCount val="20"/>
                <c:pt idx="0">
                  <c:v>20</c:v>
                </c:pt>
                <c:pt idx="1">
                  <c:v>25</c:v>
                </c:pt>
                <c:pt idx="2">
                  <c:v>30</c:v>
                </c:pt>
                <c:pt idx="3">
                  <c:v>35</c:v>
                </c:pt>
                <c:pt idx="4">
                  <c:v>40</c:v>
                </c:pt>
                <c:pt idx="5">
                  <c:v>45</c:v>
                </c:pt>
                <c:pt idx="6">
                  <c:v>50</c:v>
                </c:pt>
                <c:pt idx="7">
                  <c:v>55</c:v>
                </c:pt>
                <c:pt idx="8">
                  <c:v>60</c:v>
                </c:pt>
                <c:pt idx="9">
                  <c:v>65</c:v>
                </c:pt>
                <c:pt idx="10">
                  <c:v>70</c:v>
                </c:pt>
                <c:pt idx="11">
                  <c:v>75</c:v>
                </c:pt>
                <c:pt idx="12">
                  <c:v>80</c:v>
                </c:pt>
                <c:pt idx="13">
                  <c:v>85</c:v>
                </c:pt>
                <c:pt idx="14">
                  <c:v>90</c:v>
                </c:pt>
                <c:pt idx="15">
                  <c:v>95</c:v>
                </c:pt>
                <c:pt idx="16">
                  <c:v>100</c:v>
                </c:pt>
                <c:pt idx="17">
                  <c:v>105</c:v>
                </c:pt>
                <c:pt idx="18">
                  <c:v>110</c:v>
                </c:pt>
                <c:pt idx="19">
                  <c:v>115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120696"/>
        <c:axId val="40120304"/>
      </c:scatterChart>
      <c:valAx>
        <c:axId val="401206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0120304"/>
        <c:crosses val="autoZero"/>
        <c:crossBetween val="midCat"/>
      </c:valAx>
      <c:valAx>
        <c:axId val="40120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01206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1429800783098834E-2"/>
          <c:y val="4.9382716049382713E-2"/>
          <c:w val="0.90114952024439565"/>
          <c:h val="0.85926638799779653"/>
        </c:manualLayout>
      </c:layout>
      <c:scatterChart>
        <c:scatterStyle val="smoothMarker"/>
        <c:varyColors val="0"/>
        <c:ser>
          <c:idx val="0"/>
          <c:order val="0"/>
          <c:tx>
            <c:strRef>
              <c:f>Лист5!$A$23</c:f>
              <c:strCache>
                <c:ptCount val="1"/>
                <c:pt idx="0">
                  <c:v>6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Лист5!$C$23:$C$42</c:f>
              <c:numCache>
                <c:formatCode>General</c:formatCode>
                <c:ptCount val="20"/>
                <c:pt idx="0">
                  <c:v>4.7300000000000004</c:v>
                </c:pt>
                <c:pt idx="1">
                  <c:v>4.7300000000000004</c:v>
                </c:pt>
                <c:pt idx="3">
                  <c:v>4.7300000000000004</c:v>
                </c:pt>
                <c:pt idx="4">
                  <c:v>4.7300000000000004</c:v>
                </c:pt>
                <c:pt idx="5">
                  <c:v>4.7300000000000004</c:v>
                </c:pt>
                <c:pt idx="6">
                  <c:v>4.7300000000000004</c:v>
                </c:pt>
                <c:pt idx="7">
                  <c:v>4.7300000000000004</c:v>
                </c:pt>
                <c:pt idx="8">
                  <c:v>4.7300000000000004</c:v>
                </c:pt>
                <c:pt idx="9">
                  <c:v>4.7300000000000004</c:v>
                </c:pt>
                <c:pt idx="10">
                  <c:v>4.7300000000000004</c:v>
                </c:pt>
                <c:pt idx="11">
                  <c:v>4.7300000000000004</c:v>
                </c:pt>
                <c:pt idx="12">
                  <c:v>4.7300000000000004</c:v>
                </c:pt>
                <c:pt idx="13">
                  <c:v>4.7300000000000004</c:v>
                </c:pt>
                <c:pt idx="14">
                  <c:v>4.7300000000000004</c:v>
                </c:pt>
                <c:pt idx="15">
                  <c:v>4.7300000000000004</c:v>
                </c:pt>
                <c:pt idx="16">
                  <c:v>4.7300000000000004</c:v>
                </c:pt>
                <c:pt idx="17">
                  <c:v>4.7300000000000004</c:v>
                </c:pt>
                <c:pt idx="18">
                  <c:v>4.7300000000000004</c:v>
                </c:pt>
                <c:pt idx="19">
                  <c:v>4.74</c:v>
                </c:pt>
              </c:numCache>
            </c:numRef>
          </c:xVal>
          <c:yVal>
            <c:numRef>
              <c:f>Лист5!$B$23:$B$42</c:f>
              <c:numCache>
                <c:formatCode>General</c:formatCode>
                <c:ptCount val="20"/>
                <c:pt idx="0">
                  <c:v>20</c:v>
                </c:pt>
                <c:pt idx="1">
                  <c:v>25</c:v>
                </c:pt>
                <c:pt idx="2">
                  <c:v>30</c:v>
                </c:pt>
                <c:pt idx="3">
                  <c:v>35</c:v>
                </c:pt>
                <c:pt idx="4">
                  <c:v>40</c:v>
                </c:pt>
                <c:pt idx="5">
                  <c:v>45</c:v>
                </c:pt>
                <c:pt idx="6">
                  <c:v>50</c:v>
                </c:pt>
                <c:pt idx="7">
                  <c:v>55</c:v>
                </c:pt>
                <c:pt idx="8">
                  <c:v>60</c:v>
                </c:pt>
                <c:pt idx="9">
                  <c:v>65</c:v>
                </c:pt>
                <c:pt idx="10">
                  <c:v>70</c:v>
                </c:pt>
                <c:pt idx="11">
                  <c:v>75</c:v>
                </c:pt>
                <c:pt idx="12">
                  <c:v>80</c:v>
                </c:pt>
                <c:pt idx="13">
                  <c:v>85</c:v>
                </c:pt>
                <c:pt idx="14">
                  <c:v>90</c:v>
                </c:pt>
                <c:pt idx="15">
                  <c:v>95</c:v>
                </c:pt>
                <c:pt idx="16">
                  <c:v>100</c:v>
                </c:pt>
                <c:pt idx="17">
                  <c:v>105</c:v>
                </c:pt>
                <c:pt idx="18">
                  <c:v>110</c:v>
                </c:pt>
                <c:pt idx="19">
                  <c:v>115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Лист5!$A$23</c:f>
              <c:strCache>
                <c:ptCount val="1"/>
                <c:pt idx="0">
                  <c:v>6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Лист5!$D$23:$D$42</c:f>
              <c:numCache>
                <c:formatCode>General</c:formatCode>
                <c:ptCount val="20"/>
                <c:pt idx="0">
                  <c:v>3.83</c:v>
                </c:pt>
                <c:pt idx="1">
                  <c:v>3.83</c:v>
                </c:pt>
                <c:pt idx="2">
                  <c:v>3.83</c:v>
                </c:pt>
                <c:pt idx="3">
                  <c:v>3.83</c:v>
                </c:pt>
                <c:pt idx="4">
                  <c:v>3.84</c:v>
                </c:pt>
                <c:pt idx="5">
                  <c:v>3.86</c:v>
                </c:pt>
                <c:pt idx="6">
                  <c:v>3.86</c:v>
                </c:pt>
                <c:pt idx="7">
                  <c:v>3.86</c:v>
                </c:pt>
                <c:pt idx="8">
                  <c:v>3.86</c:v>
                </c:pt>
                <c:pt idx="9">
                  <c:v>3.86</c:v>
                </c:pt>
                <c:pt idx="10">
                  <c:v>3.86</c:v>
                </c:pt>
                <c:pt idx="11">
                  <c:v>3.87</c:v>
                </c:pt>
                <c:pt idx="12">
                  <c:v>3.87</c:v>
                </c:pt>
                <c:pt idx="13">
                  <c:v>3.87</c:v>
                </c:pt>
                <c:pt idx="14">
                  <c:v>3.87</c:v>
                </c:pt>
                <c:pt idx="15">
                  <c:v>3.87</c:v>
                </c:pt>
                <c:pt idx="16">
                  <c:v>3.87</c:v>
                </c:pt>
                <c:pt idx="17">
                  <c:v>3.87</c:v>
                </c:pt>
                <c:pt idx="18">
                  <c:v>3.87</c:v>
                </c:pt>
                <c:pt idx="19">
                  <c:v>3.87</c:v>
                </c:pt>
              </c:numCache>
            </c:numRef>
          </c:xVal>
          <c:yVal>
            <c:numRef>
              <c:f>Лист5!$B$23:$B$42</c:f>
              <c:numCache>
                <c:formatCode>General</c:formatCode>
                <c:ptCount val="20"/>
                <c:pt idx="0">
                  <c:v>20</c:v>
                </c:pt>
                <c:pt idx="1">
                  <c:v>25</c:v>
                </c:pt>
                <c:pt idx="2">
                  <c:v>30</c:v>
                </c:pt>
                <c:pt idx="3">
                  <c:v>35</c:v>
                </c:pt>
                <c:pt idx="4">
                  <c:v>40</c:v>
                </c:pt>
                <c:pt idx="5">
                  <c:v>45</c:v>
                </c:pt>
                <c:pt idx="6">
                  <c:v>50</c:v>
                </c:pt>
                <c:pt idx="7">
                  <c:v>55</c:v>
                </c:pt>
                <c:pt idx="8">
                  <c:v>60</c:v>
                </c:pt>
                <c:pt idx="9">
                  <c:v>65</c:v>
                </c:pt>
                <c:pt idx="10">
                  <c:v>70</c:v>
                </c:pt>
                <c:pt idx="11">
                  <c:v>75</c:v>
                </c:pt>
                <c:pt idx="12">
                  <c:v>80</c:v>
                </c:pt>
                <c:pt idx="13">
                  <c:v>85</c:v>
                </c:pt>
                <c:pt idx="14">
                  <c:v>90</c:v>
                </c:pt>
                <c:pt idx="15">
                  <c:v>95</c:v>
                </c:pt>
                <c:pt idx="16">
                  <c:v>100</c:v>
                </c:pt>
                <c:pt idx="17">
                  <c:v>105</c:v>
                </c:pt>
                <c:pt idx="18">
                  <c:v>110</c:v>
                </c:pt>
                <c:pt idx="19">
                  <c:v>115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Лист5!$A$23</c:f>
              <c:strCache>
                <c:ptCount val="1"/>
                <c:pt idx="0">
                  <c:v>6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Лист5!$E$23:$E$42</c:f>
              <c:numCache>
                <c:formatCode>General</c:formatCode>
                <c:ptCount val="20"/>
                <c:pt idx="0">
                  <c:v>2.97</c:v>
                </c:pt>
                <c:pt idx="1">
                  <c:v>2.97</c:v>
                </c:pt>
                <c:pt idx="2">
                  <c:v>2.97</c:v>
                </c:pt>
                <c:pt idx="3">
                  <c:v>2.97</c:v>
                </c:pt>
                <c:pt idx="4">
                  <c:v>2.98</c:v>
                </c:pt>
                <c:pt idx="5">
                  <c:v>2.98</c:v>
                </c:pt>
                <c:pt idx="6">
                  <c:v>2.98</c:v>
                </c:pt>
                <c:pt idx="7">
                  <c:v>2.98</c:v>
                </c:pt>
                <c:pt idx="8">
                  <c:v>2.98</c:v>
                </c:pt>
                <c:pt idx="9">
                  <c:v>2.98</c:v>
                </c:pt>
                <c:pt idx="10">
                  <c:v>2.98</c:v>
                </c:pt>
                <c:pt idx="11">
                  <c:v>2.98</c:v>
                </c:pt>
                <c:pt idx="12">
                  <c:v>2.98</c:v>
                </c:pt>
                <c:pt idx="13">
                  <c:v>2.98</c:v>
                </c:pt>
                <c:pt idx="14">
                  <c:v>2.99</c:v>
                </c:pt>
                <c:pt idx="15">
                  <c:v>2.99</c:v>
                </c:pt>
                <c:pt idx="16">
                  <c:v>2.99</c:v>
                </c:pt>
                <c:pt idx="17">
                  <c:v>3.01</c:v>
                </c:pt>
                <c:pt idx="18">
                  <c:v>3.76</c:v>
                </c:pt>
                <c:pt idx="19">
                  <c:v>3.76</c:v>
                </c:pt>
              </c:numCache>
            </c:numRef>
          </c:xVal>
          <c:yVal>
            <c:numRef>
              <c:f>Лист5!$B$23:$B$42</c:f>
              <c:numCache>
                <c:formatCode>General</c:formatCode>
                <c:ptCount val="20"/>
                <c:pt idx="0">
                  <c:v>20</c:v>
                </c:pt>
                <c:pt idx="1">
                  <c:v>25</c:v>
                </c:pt>
                <c:pt idx="2">
                  <c:v>30</c:v>
                </c:pt>
                <c:pt idx="3">
                  <c:v>35</c:v>
                </c:pt>
                <c:pt idx="4">
                  <c:v>40</c:v>
                </c:pt>
                <c:pt idx="5">
                  <c:v>45</c:v>
                </c:pt>
                <c:pt idx="6">
                  <c:v>50</c:v>
                </c:pt>
                <c:pt idx="7">
                  <c:v>55</c:v>
                </c:pt>
                <c:pt idx="8">
                  <c:v>60</c:v>
                </c:pt>
                <c:pt idx="9">
                  <c:v>65</c:v>
                </c:pt>
                <c:pt idx="10">
                  <c:v>70</c:v>
                </c:pt>
                <c:pt idx="11">
                  <c:v>75</c:v>
                </c:pt>
                <c:pt idx="12">
                  <c:v>80</c:v>
                </c:pt>
                <c:pt idx="13">
                  <c:v>85</c:v>
                </c:pt>
                <c:pt idx="14">
                  <c:v>90</c:v>
                </c:pt>
                <c:pt idx="15">
                  <c:v>95</c:v>
                </c:pt>
                <c:pt idx="16">
                  <c:v>100</c:v>
                </c:pt>
                <c:pt idx="17">
                  <c:v>105</c:v>
                </c:pt>
                <c:pt idx="18">
                  <c:v>110</c:v>
                </c:pt>
                <c:pt idx="19">
                  <c:v>115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Лист5!$A$23</c:f>
              <c:strCache>
                <c:ptCount val="1"/>
                <c:pt idx="0">
                  <c:v>6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Лист5!$F$23:$F$42</c:f>
              <c:numCache>
                <c:formatCode>General</c:formatCode>
                <c:ptCount val="20"/>
                <c:pt idx="0">
                  <c:v>2.31</c:v>
                </c:pt>
                <c:pt idx="1">
                  <c:v>2.31</c:v>
                </c:pt>
                <c:pt idx="2">
                  <c:v>2.73</c:v>
                </c:pt>
                <c:pt idx="3">
                  <c:v>2.76</c:v>
                </c:pt>
                <c:pt idx="4">
                  <c:v>2.76</c:v>
                </c:pt>
                <c:pt idx="5">
                  <c:v>2.76</c:v>
                </c:pt>
                <c:pt idx="6">
                  <c:v>2.76</c:v>
                </c:pt>
                <c:pt idx="7">
                  <c:v>2.95</c:v>
                </c:pt>
                <c:pt idx="8">
                  <c:v>2.95</c:v>
                </c:pt>
                <c:pt idx="9">
                  <c:v>2.95</c:v>
                </c:pt>
                <c:pt idx="10">
                  <c:v>2.95</c:v>
                </c:pt>
                <c:pt idx="11">
                  <c:v>2.95</c:v>
                </c:pt>
                <c:pt idx="12">
                  <c:v>3.07</c:v>
                </c:pt>
                <c:pt idx="13">
                  <c:v>3.07</c:v>
                </c:pt>
                <c:pt idx="14">
                  <c:v>3.07</c:v>
                </c:pt>
                <c:pt idx="15">
                  <c:v>3.18</c:v>
                </c:pt>
                <c:pt idx="16">
                  <c:v>3.18</c:v>
                </c:pt>
                <c:pt idx="17">
                  <c:v>3.18</c:v>
                </c:pt>
                <c:pt idx="18">
                  <c:v>3.33</c:v>
                </c:pt>
                <c:pt idx="19" formatCode="0.00">
                  <c:v>3.48</c:v>
                </c:pt>
              </c:numCache>
            </c:numRef>
          </c:xVal>
          <c:yVal>
            <c:numRef>
              <c:f>Лист5!$B$23:$B$42</c:f>
              <c:numCache>
                <c:formatCode>General</c:formatCode>
                <c:ptCount val="20"/>
                <c:pt idx="0">
                  <c:v>20</c:v>
                </c:pt>
                <c:pt idx="1">
                  <c:v>25</c:v>
                </c:pt>
                <c:pt idx="2">
                  <c:v>30</c:v>
                </c:pt>
                <c:pt idx="3">
                  <c:v>35</c:v>
                </c:pt>
                <c:pt idx="4">
                  <c:v>40</c:v>
                </c:pt>
                <c:pt idx="5">
                  <c:v>45</c:v>
                </c:pt>
                <c:pt idx="6">
                  <c:v>50</c:v>
                </c:pt>
                <c:pt idx="7">
                  <c:v>55</c:v>
                </c:pt>
                <c:pt idx="8">
                  <c:v>60</c:v>
                </c:pt>
                <c:pt idx="9">
                  <c:v>65</c:v>
                </c:pt>
                <c:pt idx="10">
                  <c:v>70</c:v>
                </c:pt>
                <c:pt idx="11">
                  <c:v>75</c:v>
                </c:pt>
                <c:pt idx="12">
                  <c:v>80</c:v>
                </c:pt>
                <c:pt idx="13">
                  <c:v>85</c:v>
                </c:pt>
                <c:pt idx="14">
                  <c:v>90</c:v>
                </c:pt>
                <c:pt idx="15">
                  <c:v>95</c:v>
                </c:pt>
                <c:pt idx="16">
                  <c:v>100</c:v>
                </c:pt>
                <c:pt idx="17">
                  <c:v>105</c:v>
                </c:pt>
                <c:pt idx="18">
                  <c:v>110</c:v>
                </c:pt>
                <c:pt idx="19">
                  <c:v>115</c:v>
                </c:pt>
              </c:numCache>
            </c:numRef>
          </c:yVal>
          <c:smooth val="1"/>
        </c:ser>
        <c:ser>
          <c:idx val="4"/>
          <c:order val="4"/>
          <c:tx>
            <c:strRef>
              <c:f>Лист5!$A$23</c:f>
              <c:strCache>
                <c:ptCount val="1"/>
                <c:pt idx="0">
                  <c:v>6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Лист5!$G$23:$G$42</c:f>
              <c:numCache>
                <c:formatCode>General</c:formatCode>
                <c:ptCount val="20"/>
                <c:pt idx="0">
                  <c:v>2.0699999999999998</c:v>
                </c:pt>
                <c:pt idx="1">
                  <c:v>2.0699999999999998</c:v>
                </c:pt>
                <c:pt idx="2">
                  <c:v>2.0699999999999998</c:v>
                </c:pt>
                <c:pt idx="3">
                  <c:v>2.08</c:v>
                </c:pt>
                <c:pt idx="4">
                  <c:v>2.08</c:v>
                </c:pt>
                <c:pt idx="5">
                  <c:v>2.08</c:v>
                </c:pt>
                <c:pt idx="6">
                  <c:v>2.25</c:v>
                </c:pt>
                <c:pt idx="7">
                  <c:v>2.25</c:v>
                </c:pt>
                <c:pt idx="8">
                  <c:v>2.25</c:v>
                </c:pt>
                <c:pt idx="9">
                  <c:v>2.25</c:v>
                </c:pt>
                <c:pt idx="10">
                  <c:v>2.4500000000000002</c:v>
                </c:pt>
              </c:numCache>
            </c:numRef>
          </c:xVal>
          <c:yVal>
            <c:numRef>
              <c:f>Лист5!$B$23:$B$42</c:f>
              <c:numCache>
                <c:formatCode>General</c:formatCode>
                <c:ptCount val="20"/>
                <c:pt idx="0">
                  <c:v>20</c:v>
                </c:pt>
                <c:pt idx="1">
                  <c:v>25</c:v>
                </c:pt>
                <c:pt idx="2">
                  <c:v>30</c:v>
                </c:pt>
                <c:pt idx="3">
                  <c:v>35</c:v>
                </c:pt>
                <c:pt idx="4">
                  <c:v>40</c:v>
                </c:pt>
                <c:pt idx="5">
                  <c:v>45</c:v>
                </c:pt>
                <c:pt idx="6">
                  <c:v>50</c:v>
                </c:pt>
                <c:pt idx="7">
                  <c:v>55</c:v>
                </c:pt>
                <c:pt idx="8">
                  <c:v>60</c:v>
                </c:pt>
                <c:pt idx="9">
                  <c:v>65</c:v>
                </c:pt>
                <c:pt idx="10">
                  <c:v>70</c:v>
                </c:pt>
                <c:pt idx="11">
                  <c:v>75</c:v>
                </c:pt>
                <c:pt idx="12">
                  <c:v>80</c:v>
                </c:pt>
                <c:pt idx="13">
                  <c:v>85</c:v>
                </c:pt>
                <c:pt idx="14">
                  <c:v>90</c:v>
                </c:pt>
                <c:pt idx="15">
                  <c:v>95</c:v>
                </c:pt>
                <c:pt idx="16">
                  <c:v>100</c:v>
                </c:pt>
                <c:pt idx="17">
                  <c:v>105</c:v>
                </c:pt>
                <c:pt idx="18">
                  <c:v>110</c:v>
                </c:pt>
                <c:pt idx="19">
                  <c:v>115</c:v>
                </c:pt>
              </c:numCache>
            </c:numRef>
          </c:yVal>
          <c:smooth val="1"/>
        </c:ser>
        <c:ser>
          <c:idx val="5"/>
          <c:order val="5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Лист5!$J$22:$J$42</c:f>
              <c:numCache>
                <c:formatCode>General</c:formatCode>
                <c:ptCount val="21"/>
                <c:pt idx="1">
                  <c:v>2.0699999999999998</c:v>
                </c:pt>
                <c:pt idx="2">
                  <c:v>2.0699999999999998</c:v>
                </c:pt>
                <c:pt idx="3">
                  <c:v>2.0699999999999998</c:v>
                </c:pt>
                <c:pt idx="4">
                  <c:v>2.08</c:v>
                </c:pt>
                <c:pt idx="5">
                  <c:v>2.08</c:v>
                </c:pt>
                <c:pt idx="6">
                  <c:v>2.08</c:v>
                </c:pt>
                <c:pt idx="7">
                  <c:v>2.25</c:v>
                </c:pt>
                <c:pt idx="8">
                  <c:v>2.25</c:v>
                </c:pt>
                <c:pt idx="9">
                  <c:v>2.25</c:v>
                </c:pt>
                <c:pt idx="10">
                  <c:v>2.25</c:v>
                </c:pt>
                <c:pt idx="11">
                  <c:v>2.4500000000000002</c:v>
                </c:pt>
                <c:pt idx="12">
                  <c:v>2.95</c:v>
                </c:pt>
                <c:pt idx="13">
                  <c:v>2.98</c:v>
                </c:pt>
                <c:pt idx="14">
                  <c:v>2.98</c:v>
                </c:pt>
                <c:pt idx="15">
                  <c:v>2.99</c:v>
                </c:pt>
                <c:pt idx="16">
                  <c:v>2.99</c:v>
                </c:pt>
                <c:pt idx="17">
                  <c:v>2.99</c:v>
                </c:pt>
                <c:pt idx="18">
                  <c:v>3.01</c:v>
                </c:pt>
                <c:pt idx="19">
                  <c:v>3.33</c:v>
                </c:pt>
                <c:pt idx="20">
                  <c:v>3.48</c:v>
                </c:pt>
              </c:numCache>
            </c:numRef>
          </c:xVal>
          <c:yVal>
            <c:numRef>
              <c:f>Лист5!$I$22:$I$42</c:f>
              <c:numCache>
                <c:formatCode>General</c:formatCode>
                <c:ptCount val="21"/>
                <c:pt idx="1">
                  <c:v>20</c:v>
                </c:pt>
                <c:pt idx="2">
                  <c:v>25</c:v>
                </c:pt>
                <c:pt idx="3">
                  <c:v>30</c:v>
                </c:pt>
                <c:pt idx="4">
                  <c:v>35</c:v>
                </c:pt>
                <c:pt idx="5">
                  <c:v>40</c:v>
                </c:pt>
                <c:pt idx="6">
                  <c:v>45</c:v>
                </c:pt>
                <c:pt idx="7">
                  <c:v>50</c:v>
                </c:pt>
                <c:pt idx="8">
                  <c:v>55</c:v>
                </c:pt>
                <c:pt idx="9">
                  <c:v>60</c:v>
                </c:pt>
                <c:pt idx="10">
                  <c:v>65</c:v>
                </c:pt>
                <c:pt idx="11">
                  <c:v>70</c:v>
                </c:pt>
                <c:pt idx="12">
                  <c:v>75</c:v>
                </c:pt>
                <c:pt idx="13">
                  <c:v>80</c:v>
                </c:pt>
                <c:pt idx="14">
                  <c:v>85</c:v>
                </c:pt>
                <c:pt idx="15">
                  <c:v>90</c:v>
                </c:pt>
                <c:pt idx="16">
                  <c:v>95</c:v>
                </c:pt>
                <c:pt idx="17">
                  <c:v>100</c:v>
                </c:pt>
                <c:pt idx="18">
                  <c:v>105</c:v>
                </c:pt>
                <c:pt idx="19">
                  <c:v>110</c:v>
                </c:pt>
                <c:pt idx="20">
                  <c:v>115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0546528"/>
        <c:axId val="590546136"/>
      </c:scatterChart>
      <c:valAx>
        <c:axId val="5905465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90546136"/>
        <c:crosses val="autoZero"/>
        <c:crossBetween val="midCat"/>
      </c:valAx>
      <c:valAx>
        <c:axId val="590546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905465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List" dx="22" fmlaLink="$Y$2" fmlaRange="$AA$8:$AA$17" noThreeD="1" sel="5" val="0"/>
</file>

<file path=xl/ctrlProps/ctrlProp2.xml><?xml version="1.0" encoding="utf-8"?>
<formControlPr xmlns="http://schemas.microsoft.com/office/spreadsheetml/2009/9/main" objectType="List" dx="22" fmlaLink="$C$21" fmlaRange="$A$23:$A$37" noThreeD="1" sel="12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438150</xdr:colOff>
      <xdr:row>24</xdr:row>
      <xdr:rowOff>104774</xdr:rowOff>
    </xdr:from>
    <xdr:to>
      <xdr:col>32</xdr:col>
      <xdr:colOff>188407</xdr:colOff>
      <xdr:row>48</xdr:row>
      <xdr:rowOff>20933</xdr:rowOff>
    </xdr:to>
    <xdr:graphicFrame macro="">
      <xdr:nvGraphicFramePr>
        <xdr:cNvPr id="2" name="Диаграмма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76200</xdr:colOff>
      <xdr:row>24</xdr:row>
      <xdr:rowOff>171450</xdr:rowOff>
    </xdr:from>
    <xdr:to>
      <xdr:col>17</xdr:col>
      <xdr:colOff>381000</xdr:colOff>
      <xdr:row>39</xdr:row>
      <xdr:rowOff>57150</xdr:rowOff>
    </xdr:to>
    <xdr:graphicFrame macro="">
      <xdr:nvGraphicFramePr>
        <xdr:cNvPr id="2" name="Диаграмма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428625</xdr:colOff>
          <xdr:row>20</xdr:row>
          <xdr:rowOff>76200</xdr:rowOff>
        </xdr:from>
        <xdr:to>
          <xdr:col>26</xdr:col>
          <xdr:colOff>219075</xdr:colOff>
          <xdr:row>33</xdr:row>
          <xdr:rowOff>142875</xdr:rowOff>
        </xdr:to>
        <xdr:sp macro="" textlink="">
          <xdr:nvSpPr>
            <xdr:cNvPr id="3073" name="List Box 1" hidden="1">
              <a:extLst>
                <a:ext uri="{63B3BB69-23CF-44E3-9099-C40C66FF867C}">
                  <a14:compatExt spid="_x0000_s307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571500</xdr:colOff>
      <xdr:row>22</xdr:row>
      <xdr:rowOff>104775</xdr:rowOff>
    </xdr:from>
    <xdr:to>
      <xdr:col>25</xdr:col>
      <xdr:colOff>285750</xdr:colOff>
      <xdr:row>38</xdr:row>
      <xdr:rowOff>142875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171450</xdr:colOff>
          <xdr:row>23</xdr:row>
          <xdr:rowOff>0</xdr:rowOff>
        </xdr:from>
        <xdr:to>
          <xdr:col>15</xdr:col>
          <xdr:colOff>133350</xdr:colOff>
          <xdr:row>32</xdr:row>
          <xdr:rowOff>47625</xdr:rowOff>
        </xdr:to>
        <xdr:sp macro="" textlink="">
          <xdr:nvSpPr>
            <xdr:cNvPr id="5124" name="List Box 4" hidden="1">
              <a:extLst>
                <a:ext uri="{63B3BB69-23CF-44E3-9099-C40C66FF867C}">
                  <a14:compatExt spid="_x0000_s512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4" Type="http://schemas.openxmlformats.org/officeDocument/2006/relationships/ctrlProp" Target="../ctrlProps/ctrlProp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56"/>
  <sheetViews>
    <sheetView topLeftCell="I1" zoomScale="91" zoomScaleNormal="91" workbookViewId="0">
      <selection activeCell="AJ16" sqref="AJ16"/>
    </sheetView>
  </sheetViews>
  <sheetFormatPr defaultRowHeight="15" x14ac:dyDescent="0.25"/>
  <cols>
    <col min="14" max="14" width="10.140625" style="2" customWidth="1"/>
  </cols>
  <sheetData>
    <row r="1" spans="1:36" x14ac:dyDescent="0.25">
      <c r="A1" s="1"/>
      <c r="B1" s="1">
        <v>5</v>
      </c>
      <c r="C1" s="1">
        <v>5.0999999999999996</v>
      </c>
      <c r="D1" s="1">
        <v>5.2</v>
      </c>
      <c r="E1" s="1">
        <v>5.3</v>
      </c>
      <c r="F1" s="1">
        <v>5.4</v>
      </c>
      <c r="G1" s="1">
        <v>5.5</v>
      </c>
      <c r="H1" s="1">
        <v>5.6</v>
      </c>
      <c r="I1" s="1">
        <v>5.7</v>
      </c>
      <c r="J1" s="1">
        <v>5.8</v>
      </c>
      <c r="K1" s="1">
        <v>5.9</v>
      </c>
      <c r="M1" s="1"/>
      <c r="N1" s="1">
        <v>5</v>
      </c>
      <c r="O1" s="1">
        <v>5.0999999999999996</v>
      </c>
      <c r="P1" s="1">
        <v>5.2</v>
      </c>
      <c r="Q1" s="1">
        <v>5.3</v>
      </c>
      <c r="R1" s="1">
        <v>5.4</v>
      </c>
      <c r="S1" s="1">
        <v>5.5</v>
      </c>
      <c r="T1" s="1">
        <v>5.6</v>
      </c>
      <c r="U1" s="1">
        <v>5.7</v>
      </c>
      <c r="V1" s="1">
        <v>5.8</v>
      </c>
      <c r="W1" s="1">
        <v>5.9</v>
      </c>
    </row>
    <row r="2" spans="1:36" x14ac:dyDescent="0.25">
      <c r="A2" s="1">
        <v>10</v>
      </c>
      <c r="B2">
        <v>1.58</v>
      </c>
      <c r="C2">
        <v>0.84</v>
      </c>
      <c r="D2">
        <v>1.2</v>
      </c>
      <c r="E2">
        <v>1.21</v>
      </c>
      <c r="F2">
        <v>1.22</v>
      </c>
      <c r="G2">
        <v>1.22</v>
      </c>
      <c r="H2">
        <v>1.23</v>
      </c>
      <c r="I2">
        <v>1.23</v>
      </c>
      <c r="J2">
        <v>1.49</v>
      </c>
      <c r="K2">
        <v>1.66</v>
      </c>
      <c r="M2" s="1">
        <v>10</v>
      </c>
      <c r="N2" s="2">
        <v>1.58</v>
      </c>
      <c r="O2" s="2">
        <v>0.84</v>
      </c>
      <c r="P2" s="2">
        <v>1.2</v>
      </c>
      <c r="Q2" s="2">
        <v>1.21</v>
      </c>
      <c r="R2" s="2">
        <v>1.22</v>
      </c>
      <c r="S2" s="2">
        <v>1.22</v>
      </c>
      <c r="T2" s="2">
        <v>1.23</v>
      </c>
      <c r="U2" s="2">
        <v>1.23</v>
      </c>
      <c r="V2" s="2">
        <v>1.49</v>
      </c>
      <c r="W2" s="2">
        <v>1.66</v>
      </c>
      <c r="AA2">
        <f t="shared" ref="AA2:AA14" si="0">MIN(AA3,AB2,N2)</f>
        <v>0.84</v>
      </c>
      <c r="AB2">
        <f t="shared" ref="AB2:AB14" si="1">MIN(AB3,AC2,O2)</f>
        <v>0.84</v>
      </c>
      <c r="AC2">
        <f t="shared" ref="AC2:AC14" si="2">MIN(AC3,AD2,P2)</f>
        <v>1.2</v>
      </c>
      <c r="AD2">
        <f t="shared" ref="AD2:AD14" si="3">MIN(AD3,AE2,Q2)</f>
        <v>1.21</v>
      </c>
      <c r="AE2">
        <f t="shared" ref="AE2:AE14" si="4">MIN(AE3,AF2,R2)</f>
        <v>1.22</v>
      </c>
      <c r="AF2">
        <f t="shared" ref="AF2:AF14" si="5">MIN(AF3,AG2,S2)</f>
        <v>1.22</v>
      </c>
      <c r="AG2">
        <f t="shared" ref="AG2:AG14" si="6">MIN(AG3,AH2,T2)</f>
        <v>1.23</v>
      </c>
      <c r="AH2">
        <f t="shared" ref="AH2:AI14" si="7">MIN(AH3,AI2,U2)</f>
        <v>1.23</v>
      </c>
      <c r="AI2">
        <f t="shared" si="7"/>
        <v>1.49</v>
      </c>
      <c r="AJ2">
        <f t="shared" ref="AJ2:AJ14" si="8">MIN(AJ3,W2)</f>
        <v>1.66</v>
      </c>
    </row>
    <row r="3" spans="1:36" x14ac:dyDescent="0.25">
      <c r="A3" s="1">
        <v>14</v>
      </c>
      <c r="B3">
        <v>1.67</v>
      </c>
      <c r="C3">
        <v>1.67</v>
      </c>
      <c r="D3">
        <v>1.67</v>
      </c>
      <c r="E3">
        <v>1.81</v>
      </c>
      <c r="F3">
        <v>1.95</v>
      </c>
      <c r="G3">
        <v>2.06</v>
      </c>
      <c r="H3">
        <v>2.15</v>
      </c>
      <c r="I3">
        <v>2.23</v>
      </c>
      <c r="J3">
        <v>2.2999999999999998</v>
      </c>
      <c r="K3">
        <v>2.36</v>
      </c>
      <c r="M3" s="1">
        <v>14</v>
      </c>
      <c r="N3" s="2">
        <v>1.67</v>
      </c>
      <c r="O3" s="2">
        <v>1.67</v>
      </c>
      <c r="P3" s="2">
        <v>1.67</v>
      </c>
      <c r="Q3" s="2">
        <v>1.81</v>
      </c>
      <c r="R3" s="2">
        <v>1.95</v>
      </c>
      <c r="S3" s="2">
        <v>2.06</v>
      </c>
      <c r="T3" s="2">
        <v>2.15</v>
      </c>
      <c r="U3" s="2">
        <v>2.23</v>
      </c>
      <c r="V3" s="2">
        <v>2.2999999999999998</v>
      </c>
      <c r="W3" s="2">
        <v>2.36</v>
      </c>
      <c r="AA3">
        <f t="shared" si="0"/>
        <v>1.67</v>
      </c>
      <c r="AB3">
        <f t="shared" si="1"/>
        <v>1.67</v>
      </c>
      <c r="AC3">
        <f t="shared" si="2"/>
        <v>1.67</v>
      </c>
      <c r="AD3">
        <f t="shared" si="3"/>
        <v>1.79</v>
      </c>
      <c r="AE3">
        <f t="shared" si="4"/>
        <v>1.85</v>
      </c>
      <c r="AF3">
        <f t="shared" si="5"/>
        <v>2.0499999999999998</v>
      </c>
      <c r="AG3">
        <f t="shared" si="6"/>
        <v>2.15</v>
      </c>
      <c r="AH3">
        <f t="shared" si="7"/>
        <v>2.17</v>
      </c>
      <c r="AI3">
        <f t="shared" ref="AI3:AI14" si="9">MIN(AI4,AJ3,V3)</f>
        <v>2.2999999999999998</v>
      </c>
      <c r="AJ3">
        <f t="shared" si="8"/>
        <v>2.36</v>
      </c>
    </row>
    <row r="4" spans="1:36" x14ac:dyDescent="0.25">
      <c r="A4" s="1">
        <v>18</v>
      </c>
      <c r="B4">
        <v>2.2799999999999998</v>
      </c>
      <c r="C4">
        <v>2.97</v>
      </c>
      <c r="D4">
        <v>2.2799999999999998</v>
      </c>
      <c r="E4">
        <v>3.07</v>
      </c>
      <c r="F4">
        <v>2.2799999999999998</v>
      </c>
      <c r="G4">
        <v>3</v>
      </c>
      <c r="H4">
        <v>3.12</v>
      </c>
      <c r="I4">
        <v>2.17</v>
      </c>
      <c r="J4">
        <v>2.9</v>
      </c>
      <c r="K4">
        <v>2.4700000000000002</v>
      </c>
      <c r="M4" s="1">
        <v>18</v>
      </c>
      <c r="N4" s="2">
        <v>2.2799999999999998</v>
      </c>
      <c r="O4" s="2">
        <v>2.97</v>
      </c>
      <c r="P4" s="2">
        <v>2.2799999999999998</v>
      </c>
      <c r="Q4" s="2">
        <v>3.07</v>
      </c>
      <c r="R4" s="2">
        <v>2.2799999999999998</v>
      </c>
      <c r="S4" s="2">
        <v>3</v>
      </c>
      <c r="T4" s="2">
        <v>3.12</v>
      </c>
      <c r="U4" s="2">
        <v>2.17</v>
      </c>
      <c r="V4" s="2">
        <v>2.9</v>
      </c>
      <c r="W4" s="2">
        <v>2.4700000000000002</v>
      </c>
      <c r="AA4">
        <f t="shared" si="0"/>
        <v>1.79</v>
      </c>
      <c r="AB4">
        <f t="shared" si="1"/>
        <v>1.79</v>
      </c>
      <c r="AC4">
        <f t="shared" si="2"/>
        <v>1.79</v>
      </c>
      <c r="AD4">
        <f t="shared" si="3"/>
        <v>1.79</v>
      </c>
      <c r="AE4">
        <f t="shared" si="4"/>
        <v>1.85</v>
      </c>
      <c r="AF4">
        <f t="shared" si="5"/>
        <v>2.0499999999999998</v>
      </c>
      <c r="AG4">
        <f t="shared" si="6"/>
        <v>2.17</v>
      </c>
      <c r="AH4">
        <f t="shared" si="7"/>
        <v>2.17</v>
      </c>
      <c r="AI4">
        <f t="shared" si="9"/>
        <v>2.31</v>
      </c>
      <c r="AJ4">
        <f t="shared" si="8"/>
        <v>2.4300000000000002</v>
      </c>
    </row>
    <row r="5" spans="1:36" x14ac:dyDescent="0.25">
      <c r="A5" s="1">
        <v>22</v>
      </c>
      <c r="B5">
        <v>3.11</v>
      </c>
      <c r="C5">
        <v>3.86</v>
      </c>
      <c r="D5">
        <v>3.74</v>
      </c>
      <c r="E5">
        <v>3.81</v>
      </c>
      <c r="F5">
        <v>3.75</v>
      </c>
      <c r="G5">
        <v>3.03</v>
      </c>
      <c r="H5">
        <v>3.85</v>
      </c>
      <c r="I5">
        <v>3.77</v>
      </c>
      <c r="J5">
        <v>4.2</v>
      </c>
      <c r="K5">
        <v>3.03</v>
      </c>
      <c r="M5" s="1">
        <v>22</v>
      </c>
      <c r="N5" s="2">
        <v>3.11</v>
      </c>
      <c r="O5" s="2">
        <v>3.86</v>
      </c>
      <c r="P5" s="2">
        <v>3.74</v>
      </c>
      <c r="Q5" s="2">
        <v>3.81</v>
      </c>
      <c r="R5" s="2">
        <v>3.75</v>
      </c>
      <c r="S5" s="2">
        <v>3.03</v>
      </c>
      <c r="T5" s="2">
        <v>3.85</v>
      </c>
      <c r="U5" s="2">
        <v>3.77</v>
      </c>
      <c r="V5" s="2">
        <v>4.2</v>
      </c>
      <c r="W5" s="2">
        <v>3.03</v>
      </c>
      <c r="AA5">
        <f t="shared" si="0"/>
        <v>1.79</v>
      </c>
      <c r="AB5">
        <f t="shared" si="1"/>
        <v>1.79</v>
      </c>
      <c r="AC5">
        <f t="shared" si="2"/>
        <v>1.79</v>
      </c>
      <c r="AD5">
        <f t="shared" si="3"/>
        <v>1.79</v>
      </c>
      <c r="AE5">
        <f t="shared" si="4"/>
        <v>1.85</v>
      </c>
      <c r="AF5">
        <f t="shared" si="5"/>
        <v>2.0499999999999998</v>
      </c>
      <c r="AG5">
        <f t="shared" si="6"/>
        <v>2.17</v>
      </c>
      <c r="AH5">
        <f t="shared" si="7"/>
        <v>2.17</v>
      </c>
      <c r="AI5">
        <f t="shared" si="9"/>
        <v>2.31</v>
      </c>
      <c r="AJ5">
        <f t="shared" si="8"/>
        <v>2.4300000000000002</v>
      </c>
    </row>
    <row r="6" spans="1:36" x14ac:dyDescent="0.25">
      <c r="A6" s="1">
        <v>26</v>
      </c>
      <c r="B6">
        <v>4.74</v>
      </c>
      <c r="C6">
        <v>3.88</v>
      </c>
      <c r="D6">
        <v>4.72</v>
      </c>
      <c r="E6">
        <v>4.43</v>
      </c>
      <c r="F6">
        <v>3.83</v>
      </c>
      <c r="G6">
        <v>3.96</v>
      </c>
      <c r="H6">
        <v>4.82</v>
      </c>
      <c r="I6">
        <v>3.83</v>
      </c>
      <c r="J6">
        <v>4.24</v>
      </c>
      <c r="K6">
        <v>3.83</v>
      </c>
      <c r="M6" s="1">
        <v>26</v>
      </c>
      <c r="N6" s="2">
        <v>4.74</v>
      </c>
      <c r="O6" s="2">
        <v>3.88</v>
      </c>
      <c r="P6" s="2">
        <v>4.72</v>
      </c>
      <c r="Q6" s="2">
        <v>4.43</v>
      </c>
      <c r="R6" s="2">
        <v>3.83</v>
      </c>
      <c r="S6" s="2">
        <v>3.96</v>
      </c>
      <c r="T6" s="2">
        <v>4.82</v>
      </c>
      <c r="U6" s="2">
        <v>3.83</v>
      </c>
      <c r="V6" s="2">
        <v>4.24</v>
      </c>
      <c r="W6" s="2">
        <v>3.83</v>
      </c>
      <c r="AA6">
        <f t="shared" si="0"/>
        <v>1.79</v>
      </c>
      <c r="AB6">
        <f t="shared" si="1"/>
        <v>1.79</v>
      </c>
      <c r="AC6">
        <f t="shared" si="2"/>
        <v>1.79</v>
      </c>
      <c r="AD6">
        <f t="shared" si="3"/>
        <v>1.79</v>
      </c>
      <c r="AE6">
        <f t="shared" si="4"/>
        <v>1.85</v>
      </c>
      <c r="AF6">
        <f t="shared" si="5"/>
        <v>2.0499999999999998</v>
      </c>
      <c r="AG6">
        <f t="shared" si="6"/>
        <v>2.17</v>
      </c>
      <c r="AH6">
        <f t="shared" si="7"/>
        <v>2.17</v>
      </c>
      <c r="AI6">
        <f t="shared" si="9"/>
        <v>2.31</v>
      </c>
      <c r="AJ6">
        <f t="shared" si="8"/>
        <v>2.4300000000000002</v>
      </c>
    </row>
    <row r="7" spans="1:36" x14ac:dyDescent="0.25">
      <c r="A7" s="1">
        <v>30</v>
      </c>
      <c r="B7">
        <v>2.35</v>
      </c>
      <c r="C7">
        <v>2.36</v>
      </c>
      <c r="D7">
        <v>1.92</v>
      </c>
      <c r="E7">
        <v>1.79</v>
      </c>
      <c r="F7">
        <v>1.85</v>
      </c>
      <c r="G7">
        <v>2.0499999999999998</v>
      </c>
      <c r="H7">
        <v>2.17</v>
      </c>
      <c r="I7">
        <v>2.2599999999999998</v>
      </c>
      <c r="J7">
        <v>2.35</v>
      </c>
      <c r="K7">
        <v>2.4300000000000002</v>
      </c>
      <c r="M7" s="1">
        <v>30</v>
      </c>
      <c r="N7" s="2">
        <v>2.35</v>
      </c>
      <c r="O7" s="2">
        <v>2.36</v>
      </c>
      <c r="P7" s="2">
        <v>1.92</v>
      </c>
      <c r="Q7" s="2">
        <v>1.79</v>
      </c>
      <c r="R7" s="2">
        <v>1.85</v>
      </c>
      <c r="S7" s="2">
        <v>2.0499999999999998</v>
      </c>
      <c r="T7" s="2">
        <v>2.17</v>
      </c>
      <c r="U7" s="2">
        <v>2.2599999999999998</v>
      </c>
      <c r="V7" s="2">
        <v>2.35</v>
      </c>
      <c r="W7" s="2">
        <v>2.4300000000000002</v>
      </c>
      <c r="AA7">
        <f t="shared" si="0"/>
        <v>1.79</v>
      </c>
      <c r="AB7">
        <f t="shared" si="1"/>
        <v>1.79</v>
      </c>
      <c r="AC7">
        <f t="shared" si="2"/>
        <v>1.79</v>
      </c>
      <c r="AD7">
        <f t="shared" si="3"/>
        <v>1.79</v>
      </c>
      <c r="AE7">
        <f t="shared" si="4"/>
        <v>1.85</v>
      </c>
      <c r="AF7">
        <f t="shared" si="5"/>
        <v>2.0499999999999998</v>
      </c>
      <c r="AG7">
        <f t="shared" si="6"/>
        <v>2.17</v>
      </c>
      <c r="AH7">
        <f t="shared" si="7"/>
        <v>2.17</v>
      </c>
      <c r="AI7">
        <f t="shared" si="9"/>
        <v>2.31</v>
      </c>
      <c r="AJ7">
        <f t="shared" si="8"/>
        <v>2.4300000000000002</v>
      </c>
    </row>
    <row r="8" spans="1:36" x14ac:dyDescent="0.25">
      <c r="A8" s="1">
        <v>34</v>
      </c>
      <c r="B8">
        <v>2.86</v>
      </c>
      <c r="C8">
        <v>2.1</v>
      </c>
      <c r="D8">
        <v>2.1</v>
      </c>
      <c r="E8">
        <v>2.67</v>
      </c>
      <c r="F8">
        <v>2.5299999999999998</v>
      </c>
      <c r="G8">
        <v>2.29</v>
      </c>
      <c r="H8">
        <v>2.65</v>
      </c>
      <c r="I8">
        <v>2.17</v>
      </c>
      <c r="J8">
        <v>2.31</v>
      </c>
      <c r="K8">
        <v>2.4700000000000002</v>
      </c>
      <c r="M8" s="1">
        <v>34</v>
      </c>
      <c r="N8" s="2">
        <v>2.86</v>
      </c>
      <c r="O8" s="2">
        <v>2.1</v>
      </c>
      <c r="P8" s="2">
        <v>2.1</v>
      </c>
      <c r="Q8" s="2">
        <v>2.67</v>
      </c>
      <c r="R8" s="2">
        <v>2.5299999999999998</v>
      </c>
      <c r="S8" s="2">
        <v>2.29</v>
      </c>
      <c r="T8" s="2">
        <v>2.65</v>
      </c>
      <c r="U8" s="2">
        <v>2.17</v>
      </c>
      <c r="V8" s="2">
        <v>2.31</v>
      </c>
      <c r="W8" s="2">
        <v>2.4700000000000002</v>
      </c>
      <c r="AA8">
        <f t="shared" si="0"/>
        <v>2.1</v>
      </c>
      <c r="AB8">
        <f t="shared" si="1"/>
        <v>2.1</v>
      </c>
      <c r="AC8">
        <f t="shared" si="2"/>
        <v>2.1</v>
      </c>
      <c r="AD8">
        <f t="shared" si="3"/>
        <v>2.17</v>
      </c>
      <c r="AE8">
        <f t="shared" si="4"/>
        <v>2.17</v>
      </c>
      <c r="AF8">
        <f t="shared" si="5"/>
        <v>2.17</v>
      </c>
      <c r="AG8">
        <f t="shared" si="6"/>
        <v>2.17</v>
      </c>
      <c r="AH8">
        <f t="shared" si="7"/>
        <v>2.17</v>
      </c>
      <c r="AI8">
        <f t="shared" si="9"/>
        <v>2.31</v>
      </c>
      <c r="AJ8">
        <f t="shared" si="8"/>
        <v>2.46</v>
      </c>
    </row>
    <row r="9" spans="1:36" x14ac:dyDescent="0.25">
      <c r="A9" s="1">
        <v>38</v>
      </c>
      <c r="B9">
        <v>2.46</v>
      </c>
      <c r="C9">
        <v>2.46</v>
      </c>
      <c r="D9">
        <v>3.23</v>
      </c>
      <c r="E9">
        <v>2.46</v>
      </c>
      <c r="F9">
        <v>3.21</v>
      </c>
      <c r="G9">
        <v>3.19</v>
      </c>
      <c r="H9">
        <v>2.46</v>
      </c>
      <c r="I9">
        <v>2.46</v>
      </c>
      <c r="J9">
        <v>2.46</v>
      </c>
      <c r="K9">
        <v>2.46</v>
      </c>
      <c r="M9" s="1">
        <v>38</v>
      </c>
      <c r="N9" s="2">
        <v>2.46</v>
      </c>
      <c r="O9" s="2">
        <v>2.46</v>
      </c>
      <c r="P9" s="2">
        <v>3.23</v>
      </c>
      <c r="Q9" s="2">
        <v>2.46</v>
      </c>
      <c r="R9" s="2">
        <v>3.21</v>
      </c>
      <c r="S9" s="2">
        <v>3.19</v>
      </c>
      <c r="T9" s="2">
        <v>2.46</v>
      </c>
      <c r="U9" s="2">
        <v>2.46</v>
      </c>
      <c r="V9" s="2">
        <v>2.46</v>
      </c>
      <c r="W9" s="2">
        <v>2.46</v>
      </c>
      <c r="AA9">
        <f t="shared" si="0"/>
        <v>2.46</v>
      </c>
      <c r="AB9">
        <f t="shared" si="1"/>
        <v>2.46</v>
      </c>
      <c r="AC9">
        <f t="shared" si="2"/>
        <v>2.46</v>
      </c>
      <c r="AD9">
        <f t="shared" si="3"/>
        <v>2.46</v>
      </c>
      <c r="AE9">
        <f t="shared" si="4"/>
        <v>2.46</v>
      </c>
      <c r="AF9">
        <f t="shared" si="5"/>
        <v>2.46</v>
      </c>
      <c r="AG9">
        <f t="shared" si="6"/>
        <v>2.46</v>
      </c>
      <c r="AH9">
        <f t="shared" si="7"/>
        <v>2.46</v>
      </c>
      <c r="AI9">
        <f t="shared" si="9"/>
        <v>2.46</v>
      </c>
      <c r="AJ9">
        <f t="shared" si="8"/>
        <v>2.46</v>
      </c>
    </row>
    <row r="10" spans="1:36" x14ac:dyDescent="0.25">
      <c r="A10" s="1">
        <v>42</v>
      </c>
      <c r="B10">
        <v>3.54</v>
      </c>
      <c r="C10">
        <v>3.54</v>
      </c>
      <c r="D10">
        <v>3.63</v>
      </c>
      <c r="E10">
        <v>3.68</v>
      </c>
      <c r="F10">
        <v>3.53</v>
      </c>
      <c r="G10">
        <v>3.71</v>
      </c>
      <c r="H10">
        <v>3.69</v>
      </c>
      <c r="I10">
        <v>3.6</v>
      </c>
      <c r="J10">
        <v>3.66</v>
      </c>
      <c r="K10">
        <v>2.84</v>
      </c>
      <c r="M10" s="1">
        <v>42</v>
      </c>
      <c r="N10" s="2">
        <v>3.54</v>
      </c>
      <c r="O10" s="2">
        <v>3.54</v>
      </c>
      <c r="P10" s="2">
        <v>3.63</v>
      </c>
      <c r="Q10" s="2">
        <v>3.68</v>
      </c>
      <c r="R10" s="2">
        <v>3.53</v>
      </c>
      <c r="S10" s="2">
        <v>3.71</v>
      </c>
      <c r="T10" s="2">
        <v>3.69</v>
      </c>
      <c r="U10" s="2">
        <v>3.6</v>
      </c>
      <c r="V10" s="2">
        <v>3.66</v>
      </c>
      <c r="W10" s="2">
        <v>2.84</v>
      </c>
      <c r="AA10">
        <f t="shared" si="0"/>
        <v>2.52</v>
      </c>
      <c r="AB10">
        <f t="shared" si="1"/>
        <v>2.52</v>
      </c>
      <c r="AC10">
        <f t="shared" si="2"/>
        <v>2.52</v>
      </c>
      <c r="AD10">
        <f t="shared" si="3"/>
        <v>2.52</v>
      </c>
      <c r="AE10">
        <f t="shared" si="4"/>
        <v>2.52</v>
      </c>
      <c r="AF10">
        <f t="shared" si="5"/>
        <v>2.78</v>
      </c>
      <c r="AG10">
        <f t="shared" si="6"/>
        <v>2.78</v>
      </c>
      <c r="AH10">
        <f t="shared" si="7"/>
        <v>2.78</v>
      </c>
      <c r="AI10">
        <f t="shared" si="9"/>
        <v>2.78</v>
      </c>
      <c r="AJ10">
        <f t="shared" si="8"/>
        <v>2.78</v>
      </c>
    </row>
    <row r="11" spans="1:36" x14ac:dyDescent="0.25">
      <c r="A11" s="1">
        <v>46</v>
      </c>
      <c r="B11">
        <v>4.1100000000000003</v>
      </c>
      <c r="C11">
        <v>4.68</v>
      </c>
      <c r="D11">
        <v>4.09</v>
      </c>
      <c r="E11">
        <v>3.69</v>
      </c>
      <c r="F11">
        <v>3.99</v>
      </c>
      <c r="G11">
        <v>3.91</v>
      </c>
      <c r="H11">
        <v>4.13</v>
      </c>
      <c r="I11">
        <v>4.2300000000000004</v>
      </c>
      <c r="J11">
        <v>4.37</v>
      </c>
      <c r="K11">
        <v>4.0999999999999996</v>
      </c>
      <c r="M11" s="1">
        <v>46</v>
      </c>
      <c r="N11" s="2">
        <v>4.1100000000000003</v>
      </c>
      <c r="O11" s="2">
        <v>4.68</v>
      </c>
      <c r="P11" s="2">
        <v>4.09</v>
      </c>
      <c r="Q11" s="2">
        <v>3.69</v>
      </c>
      <c r="R11" s="2">
        <v>3.99</v>
      </c>
      <c r="S11" s="2">
        <v>3.91</v>
      </c>
      <c r="T11" s="2">
        <v>4.13</v>
      </c>
      <c r="U11" s="2">
        <v>4.2300000000000004</v>
      </c>
      <c r="V11" s="2">
        <v>4.37</v>
      </c>
      <c r="W11" s="2">
        <v>4.0999999999999996</v>
      </c>
      <c r="AA11">
        <f t="shared" si="0"/>
        <v>2.52</v>
      </c>
      <c r="AB11">
        <f t="shared" si="1"/>
        <v>2.52</v>
      </c>
      <c r="AC11">
        <f t="shared" si="2"/>
        <v>2.52</v>
      </c>
      <c r="AD11">
        <f t="shared" si="3"/>
        <v>2.52</v>
      </c>
      <c r="AE11">
        <f t="shared" si="4"/>
        <v>2.52</v>
      </c>
      <c r="AF11">
        <f t="shared" si="5"/>
        <v>2.78</v>
      </c>
      <c r="AG11">
        <f t="shared" si="6"/>
        <v>2.78</v>
      </c>
      <c r="AH11">
        <f t="shared" si="7"/>
        <v>2.78</v>
      </c>
      <c r="AI11">
        <f t="shared" si="9"/>
        <v>2.78</v>
      </c>
      <c r="AJ11">
        <f t="shared" si="8"/>
        <v>2.78</v>
      </c>
    </row>
    <row r="12" spans="1:36" x14ac:dyDescent="0.25">
      <c r="A12" s="1">
        <v>50</v>
      </c>
      <c r="B12">
        <v>3.63</v>
      </c>
      <c r="C12">
        <v>4.49</v>
      </c>
      <c r="D12">
        <v>4.78</v>
      </c>
      <c r="E12">
        <v>3.63</v>
      </c>
      <c r="F12">
        <v>3.71</v>
      </c>
      <c r="G12">
        <v>3.85</v>
      </c>
      <c r="H12">
        <v>5.0199999999999996</v>
      </c>
      <c r="I12">
        <v>4.51</v>
      </c>
      <c r="J12">
        <v>4.8899999999999997</v>
      </c>
      <c r="K12">
        <v>5.3</v>
      </c>
      <c r="M12" s="1">
        <v>50</v>
      </c>
      <c r="N12" s="2">
        <v>3.63</v>
      </c>
      <c r="O12" s="2">
        <v>4.49</v>
      </c>
      <c r="P12" s="2">
        <v>4.78</v>
      </c>
      <c r="Q12" s="2">
        <v>3.63</v>
      </c>
      <c r="R12" s="2">
        <v>3.71</v>
      </c>
      <c r="S12" s="2">
        <v>3.85</v>
      </c>
      <c r="T12" s="2">
        <v>5.0199999999999996</v>
      </c>
      <c r="U12" s="2">
        <v>4.51</v>
      </c>
      <c r="V12" s="2">
        <v>4.8899999999999997</v>
      </c>
      <c r="W12" s="2">
        <v>5.3</v>
      </c>
      <c r="AA12">
        <f t="shared" si="0"/>
        <v>2.52</v>
      </c>
      <c r="AB12">
        <f t="shared" si="1"/>
        <v>2.52</v>
      </c>
      <c r="AC12">
        <f t="shared" si="2"/>
        <v>2.52</v>
      </c>
      <c r="AD12">
        <f t="shared" si="3"/>
        <v>2.52</v>
      </c>
      <c r="AE12">
        <f t="shared" si="4"/>
        <v>2.52</v>
      </c>
      <c r="AF12">
        <f t="shared" si="5"/>
        <v>2.78</v>
      </c>
      <c r="AG12">
        <f t="shared" si="6"/>
        <v>2.78</v>
      </c>
      <c r="AH12">
        <f t="shared" si="7"/>
        <v>2.78</v>
      </c>
      <c r="AI12">
        <f t="shared" si="9"/>
        <v>2.78</v>
      </c>
      <c r="AJ12">
        <f t="shared" si="8"/>
        <v>2.78</v>
      </c>
    </row>
    <row r="13" spans="1:36" x14ac:dyDescent="0.25">
      <c r="A13" s="1">
        <v>54</v>
      </c>
      <c r="B13">
        <v>3.57</v>
      </c>
      <c r="C13">
        <v>4.03</v>
      </c>
      <c r="D13">
        <v>4.03</v>
      </c>
      <c r="E13">
        <v>4.18</v>
      </c>
      <c r="F13">
        <v>4.03</v>
      </c>
      <c r="G13">
        <v>4.03</v>
      </c>
      <c r="H13">
        <v>4.5</v>
      </c>
      <c r="I13">
        <v>4.03</v>
      </c>
      <c r="J13">
        <v>4.3</v>
      </c>
      <c r="K13">
        <v>4.03</v>
      </c>
      <c r="M13" s="1">
        <v>54</v>
      </c>
      <c r="N13" s="2">
        <v>3.57</v>
      </c>
      <c r="O13" s="2">
        <v>4.03</v>
      </c>
      <c r="P13" s="2">
        <v>4.03</v>
      </c>
      <c r="Q13" s="2">
        <v>4.18</v>
      </c>
      <c r="R13" s="2">
        <v>4.03</v>
      </c>
      <c r="S13" s="2">
        <v>4.03</v>
      </c>
      <c r="T13" s="2">
        <v>4.5</v>
      </c>
      <c r="U13" s="2">
        <v>4.03</v>
      </c>
      <c r="V13" s="2">
        <v>4.3</v>
      </c>
      <c r="W13" s="2">
        <v>4.03</v>
      </c>
      <c r="AA13">
        <f t="shared" si="0"/>
        <v>2.52</v>
      </c>
      <c r="AB13">
        <f t="shared" si="1"/>
        <v>2.52</v>
      </c>
      <c r="AC13">
        <f t="shared" si="2"/>
        <v>2.52</v>
      </c>
      <c r="AD13">
        <f t="shared" si="3"/>
        <v>2.52</v>
      </c>
      <c r="AE13">
        <f t="shared" si="4"/>
        <v>2.52</v>
      </c>
      <c r="AF13">
        <f t="shared" si="5"/>
        <v>2.78</v>
      </c>
      <c r="AG13">
        <f t="shared" si="6"/>
        <v>2.78</v>
      </c>
      <c r="AH13">
        <f t="shared" si="7"/>
        <v>2.78</v>
      </c>
      <c r="AI13">
        <f t="shared" si="9"/>
        <v>2.78</v>
      </c>
      <c r="AJ13">
        <f t="shared" si="8"/>
        <v>2.78</v>
      </c>
    </row>
    <row r="14" spans="1:36" x14ac:dyDescent="0.25">
      <c r="A14" s="1">
        <v>58</v>
      </c>
      <c r="B14">
        <v>3.09</v>
      </c>
      <c r="C14">
        <v>2.52</v>
      </c>
      <c r="D14">
        <v>2.52</v>
      </c>
      <c r="E14">
        <v>3.3</v>
      </c>
      <c r="F14">
        <v>2.52</v>
      </c>
      <c r="G14">
        <v>3.32</v>
      </c>
      <c r="H14">
        <v>4.45</v>
      </c>
      <c r="I14">
        <v>4.45</v>
      </c>
      <c r="J14">
        <v>4.45</v>
      </c>
      <c r="K14">
        <v>4.45</v>
      </c>
      <c r="M14" s="1">
        <v>58</v>
      </c>
      <c r="N14" s="2">
        <v>3.09</v>
      </c>
      <c r="O14" s="2">
        <v>2.52</v>
      </c>
      <c r="P14" s="2">
        <v>2.52</v>
      </c>
      <c r="Q14" s="2">
        <v>3.3</v>
      </c>
      <c r="R14" s="2">
        <v>2.52</v>
      </c>
      <c r="S14" s="2">
        <v>3.32</v>
      </c>
      <c r="T14" s="2">
        <v>4.45</v>
      </c>
      <c r="U14" s="2">
        <v>4.45</v>
      </c>
      <c r="V14" s="2">
        <v>4.45</v>
      </c>
      <c r="W14" s="2">
        <v>4.45</v>
      </c>
      <c r="AA14">
        <f t="shared" si="0"/>
        <v>2.52</v>
      </c>
      <c r="AB14">
        <f t="shared" si="1"/>
        <v>2.52</v>
      </c>
      <c r="AC14">
        <f t="shared" si="2"/>
        <v>2.52</v>
      </c>
      <c r="AD14">
        <f t="shared" si="3"/>
        <v>2.52</v>
      </c>
      <c r="AE14">
        <f t="shared" si="4"/>
        <v>2.52</v>
      </c>
      <c r="AF14">
        <f t="shared" si="5"/>
        <v>2.78</v>
      </c>
      <c r="AG14">
        <f t="shared" si="6"/>
        <v>2.78</v>
      </c>
      <c r="AH14">
        <f t="shared" si="7"/>
        <v>2.78</v>
      </c>
      <c r="AI14">
        <f t="shared" si="9"/>
        <v>2.78</v>
      </c>
      <c r="AJ14">
        <f t="shared" si="8"/>
        <v>2.78</v>
      </c>
    </row>
    <row r="15" spans="1:36" x14ac:dyDescent="0.25">
      <c r="A15" s="1">
        <v>62</v>
      </c>
      <c r="B15">
        <v>2.78</v>
      </c>
      <c r="C15">
        <v>2.9</v>
      </c>
      <c r="D15">
        <v>2.78</v>
      </c>
      <c r="E15">
        <v>3.44</v>
      </c>
      <c r="F15">
        <v>3.67</v>
      </c>
      <c r="G15">
        <v>2.78</v>
      </c>
      <c r="H15">
        <v>2.78</v>
      </c>
      <c r="I15">
        <v>3.6</v>
      </c>
      <c r="J15">
        <v>2.78</v>
      </c>
      <c r="K15">
        <v>2.78</v>
      </c>
      <c r="M15" s="1">
        <v>62</v>
      </c>
      <c r="N15" s="2">
        <v>2.78</v>
      </c>
      <c r="O15" s="2">
        <v>2.9</v>
      </c>
      <c r="P15" s="2">
        <v>2.78</v>
      </c>
      <c r="Q15" s="2">
        <v>3.44</v>
      </c>
      <c r="R15" s="2">
        <v>3.67</v>
      </c>
      <c r="S15" s="2">
        <v>2.78</v>
      </c>
      <c r="T15" s="2">
        <v>2.78</v>
      </c>
      <c r="U15" s="2">
        <v>3.6</v>
      </c>
      <c r="V15" s="2">
        <v>2.78</v>
      </c>
      <c r="W15" s="2">
        <v>2.78</v>
      </c>
      <c r="AA15">
        <f t="shared" ref="AA15:AH15" si="10">MIN(AA16,AB15,N15)</f>
        <v>2.78</v>
      </c>
      <c r="AB15">
        <f t="shared" si="10"/>
        <v>2.78</v>
      </c>
      <c r="AC15">
        <f t="shared" si="10"/>
        <v>2.78</v>
      </c>
      <c r="AD15">
        <f t="shared" si="10"/>
        <v>2.78</v>
      </c>
      <c r="AE15">
        <f t="shared" si="10"/>
        <v>2.78</v>
      </c>
      <c r="AF15">
        <f t="shared" si="10"/>
        <v>2.78</v>
      </c>
      <c r="AG15">
        <f t="shared" si="10"/>
        <v>2.78</v>
      </c>
      <c r="AH15">
        <f t="shared" si="10"/>
        <v>2.78</v>
      </c>
      <c r="AI15">
        <f>MIN(AI16,AJ15,V15)</f>
        <v>2.78</v>
      </c>
      <c r="AJ15">
        <f>MIN(AJ16,W15)</f>
        <v>2.78</v>
      </c>
    </row>
    <row r="16" spans="1:36" x14ac:dyDescent="0.25">
      <c r="A16" s="1">
        <v>66</v>
      </c>
      <c r="B16">
        <v>3.11</v>
      </c>
      <c r="C16">
        <v>3.86</v>
      </c>
      <c r="D16">
        <v>3.74</v>
      </c>
      <c r="E16">
        <v>3.81</v>
      </c>
      <c r="F16">
        <v>3.75</v>
      </c>
      <c r="G16">
        <v>3.03</v>
      </c>
      <c r="H16">
        <v>3.85</v>
      </c>
      <c r="I16">
        <v>3.77</v>
      </c>
      <c r="J16">
        <v>4.2</v>
      </c>
      <c r="K16">
        <v>3.03</v>
      </c>
      <c r="M16" s="1">
        <v>66</v>
      </c>
      <c r="N16" s="2">
        <v>3.11</v>
      </c>
      <c r="O16" s="2">
        <v>3.86</v>
      </c>
      <c r="P16" s="2">
        <v>3.74</v>
      </c>
      <c r="Q16" s="2">
        <v>3.81</v>
      </c>
      <c r="R16" s="2">
        <v>3.75</v>
      </c>
      <c r="S16" s="2">
        <v>3.03</v>
      </c>
      <c r="T16" s="2">
        <v>3.85</v>
      </c>
      <c r="U16" s="2">
        <v>3.77</v>
      </c>
      <c r="V16" s="2">
        <v>4.2</v>
      </c>
      <c r="W16" s="2">
        <v>3.03</v>
      </c>
      <c r="AA16">
        <f t="shared" ref="AA16:AH16" si="11">MIN(N16,AB16)</f>
        <v>3.03</v>
      </c>
      <c r="AB16">
        <f t="shared" si="11"/>
        <v>3.03</v>
      </c>
      <c r="AC16">
        <f t="shared" si="11"/>
        <v>3.03</v>
      </c>
      <c r="AD16">
        <f t="shared" si="11"/>
        <v>3.03</v>
      </c>
      <c r="AE16">
        <f t="shared" si="11"/>
        <v>3.03</v>
      </c>
      <c r="AF16">
        <f t="shared" si="11"/>
        <v>3.03</v>
      </c>
      <c r="AG16">
        <f t="shared" si="11"/>
        <v>3.03</v>
      </c>
      <c r="AH16">
        <f t="shared" si="11"/>
        <v>3.03</v>
      </c>
      <c r="AI16">
        <f>MIN(V16,AJ16)</f>
        <v>3.03</v>
      </c>
      <c r="AJ16">
        <f>W16</f>
        <v>3.03</v>
      </c>
    </row>
    <row r="20" spans="1:17" ht="18" customHeight="1" x14ac:dyDescent="0.25"/>
    <row r="21" spans="1:17" hidden="1" x14ac:dyDescent="0.25"/>
    <row r="22" spans="1:17" x14ac:dyDescent="0.25">
      <c r="B22">
        <f>B1</f>
        <v>5</v>
      </c>
    </row>
    <row r="23" spans="1:17" x14ac:dyDescent="0.25">
      <c r="A23">
        <f>A2</f>
        <v>10</v>
      </c>
      <c r="B23">
        <f>VLOOKUP("0"&amp;"_"&amp;$B$22&amp;"_"&amp;$A23,Лист2!$A$2:$Q$301,COLUMN()-COLUMN($A23)+1,FALSE)</f>
        <v>0</v>
      </c>
      <c r="C23">
        <f>VLOOKUP("0"&amp;"_"&amp;$B$22&amp;"_"&amp;$A23,Лист2!$A$2:$Q$301,COLUMN()-COLUMN($A23)+1,FALSE)</f>
        <v>1.48</v>
      </c>
      <c r="D23">
        <f>VLOOKUP("0"&amp;"_"&amp;$B$22&amp;"_"&amp;$A23,Лист2!$A$2:$Q$301,COLUMN()-COLUMN($A23)+1,FALSE)</f>
        <v>4148</v>
      </c>
      <c r="E23">
        <f>VLOOKUP("0"&amp;"_"&amp;$B$22&amp;"_"&amp;$A23,Лист2!$A$2:$Q$301,COLUMN()-COLUMN($A23)+1,FALSE)</f>
        <v>0.78</v>
      </c>
      <c r="F23">
        <f>VLOOKUP("0"&amp;"_"&amp;$B$22&amp;"_"&amp;$A23,Лист2!$A$2:$Q$301,COLUMN()-COLUMN($A23)+1,FALSE)</f>
        <v>1.58</v>
      </c>
      <c r="G23">
        <f>VLOOKUP("0"&amp;"_"&amp;$B$22&amp;"_"&amp;$A23,Лист2!$A$2:$Q$301,COLUMN()-COLUMN($A23)+1,FALSE)</f>
        <v>1.58</v>
      </c>
      <c r="H23">
        <f>VLOOKUP("0"&amp;"_"&amp;$B$22&amp;"_"&amp;$A23,Лист2!$A$2:$Q$301,COLUMN()-COLUMN($A23)+1,FALSE)</f>
        <v>2.35</v>
      </c>
      <c r="I23">
        <f>VLOOKUP("0"&amp;"_"&amp;$B$22&amp;"_"&amp;$A23,Лист2!$A$2:$Q$301,COLUMN()-COLUMN($A23)+1,FALSE)</f>
        <v>2.35</v>
      </c>
      <c r="J23">
        <f>VLOOKUP("0"&amp;"_"&amp;$B$22&amp;"_"&amp;$A23,Лист2!$A$2:$Q$301,COLUMN()-COLUMN($A23)+1,FALSE)</f>
        <v>5</v>
      </c>
      <c r="K23">
        <f>VLOOKUP("0"&amp;"_"&amp;$B$22&amp;"_"&amp;$A23,Лист2!$A$2:$Q$301,COLUMN()-COLUMN($A23)+1,FALSE)</f>
        <v>7007.98</v>
      </c>
      <c r="L23">
        <f>VLOOKUP("0"&amp;"_"&amp;$B$22&amp;"_"&amp;$A23,Лист2!$A$2:$Q$301,COLUMN()-COLUMN($A23)+1,FALSE)</f>
        <v>10</v>
      </c>
      <c r="M23">
        <f>VLOOKUP("0"&amp;"_"&amp;$B$22&amp;"_"&amp;$A23,Лист2!$A$2:$Q$301,COLUMN()-COLUMN($A23)+1,FALSE)</f>
        <v>2.65</v>
      </c>
      <c r="N23" t="str">
        <f>VLOOKUP("0"&amp;"_"&amp;$B$22&amp;"_"&amp;$A23,Лист2!$A$2:$Q$301,COLUMN()-COLUMN($A23)+1,FALSE)</f>
        <v>./DKS_math/Test/spch_dimkoef/ГПА-16 40-2,5 Южно-Русское.csv</v>
      </c>
      <c r="O23">
        <f>VLOOKUP("0"&amp;"_"&amp;$B$22&amp;"_"&amp;$A23,Лист2!$A$2:$Q$301,COLUMN()-COLUMN($A23)+1,FALSE)</f>
        <v>91.17</v>
      </c>
      <c r="P23">
        <f>VLOOKUP("0"&amp;"_"&amp;$B$22&amp;"_"&amp;$A23,Лист2!$A$2:$Q$301,COLUMN()-COLUMN($A23)+1,FALSE)</f>
        <v>439.53</v>
      </c>
      <c r="Q23">
        <f>VLOOKUP("0"&amp;"_"&amp;$B$22&amp;"_"&amp;$A23,Лист2!$A$2:$Q$301,COLUMN()-COLUMN($A23)+1,FALSE)</f>
        <v>1</v>
      </c>
    </row>
    <row r="24" spans="1:17" x14ac:dyDescent="0.25">
      <c r="A24">
        <f t="shared" ref="A24:A37" si="12">A3</f>
        <v>14</v>
      </c>
      <c r="B24">
        <f>VLOOKUP("0"&amp;"_"&amp;$B$22&amp;"_"&amp;$A24,Лист2!$A$2:$Q$301,COLUMN()-COLUMN($A24)+1,FALSE)</f>
        <v>0</v>
      </c>
      <c r="C24">
        <f>VLOOKUP("0"&amp;"_"&amp;$B$22&amp;"_"&amp;$A24,Лист2!$A$2:$Q$301,COLUMN()-COLUMN($A24)+1,FALSE)</f>
        <v>1.71</v>
      </c>
      <c r="D24">
        <f>VLOOKUP("0"&amp;"_"&amp;$B$22&amp;"_"&amp;$A24,Лист2!$A$2:$Q$301,COLUMN()-COLUMN($A24)+1,FALSE)</f>
        <v>5153</v>
      </c>
      <c r="E24">
        <f>VLOOKUP("0"&amp;"_"&amp;$B$22&amp;"_"&amp;$A24,Лист2!$A$2:$Q$301,COLUMN()-COLUMN($A24)+1,FALSE)</f>
        <v>0.97</v>
      </c>
      <c r="F24">
        <f>VLOOKUP("0"&amp;"_"&amp;$B$22&amp;"_"&amp;$A24,Лист2!$A$2:$Q$301,COLUMN()-COLUMN($A24)+1,FALSE)</f>
        <v>1.67</v>
      </c>
      <c r="G24">
        <f>VLOOKUP("0"&amp;"_"&amp;$B$22&amp;"_"&amp;$A24,Лист2!$A$2:$Q$301,COLUMN()-COLUMN($A24)+1,FALSE)</f>
        <v>1.67</v>
      </c>
      <c r="H24">
        <f>VLOOKUP("0"&amp;"_"&amp;$B$22&amp;"_"&amp;$A24,Лист2!$A$2:$Q$301,COLUMN()-COLUMN($A24)+1,FALSE)</f>
        <v>2.86</v>
      </c>
      <c r="I24">
        <f>VLOOKUP("0"&amp;"_"&amp;$B$22&amp;"_"&amp;$A24,Лист2!$A$2:$Q$301,COLUMN()-COLUMN($A24)+1,FALSE)</f>
        <v>2.86</v>
      </c>
      <c r="J24">
        <f>VLOOKUP("0"&amp;"_"&amp;$B$22&amp;"_"&amp;$A24,Лист2!$A$2:$Q$301,COLUMN()-COLUMN($A24)+1,FALSE)</f>
        <v>5</v>
      </c>
      <c r="K24">
        <f>VLOOKUP("0"&amp;"_"&amp;$B$22&amp;"_"&amp;$A24,Лист2!$A$2:$Q$301,COLUMN()-COLUMN($A24)+1,FALSE)</f>
        <v>14351.77</v>
      </c>
      <c r="L24">
        <f>VLOOKUP("0"&amp;"_"&amp;$B$22&amp;"_"&amp;$A24,Лист2!$A$2:$Q$301,COLUMN()-COLUMN($A24)+1,FALSE)</f>
        <v>14</v>
      </c>
      <c r="M24">
        <f>VLOOKUP("0"&amp;"_"&amp;$B$22&amp;"_"&amp;$A24,Лист2!$A$2:$Q$301,COLUMN()-COLUMN($A24)+1,FALSE)</f>
        <v>2.14</v>
      </c>
      <c r="N24" t="str">
        <f>VLOOKUP("0"&amp;"_"&amp;$B$22&amp;"_"&amp;$A24,Лист2!$A$2:$Q$301,COLUMN()-COLUMN($A24)+1,FALSE)</f>
        <v>./DKS_math/Test/spch_dimkoef/ГПА-16 40-2,5 Южно-Русское.csv</v>
      </c>
      <c r="O24">
        <f>VLOOKUP("0"&amp;"_"&amp;$B$22&amp;"_"&amp;$A24,Лист2!$A$2:$Q$301,COLUMN()-COLUMN($A24)+1,FALSE)</f>
        <v>100</v>
      </c>
      <c r="P24">
        <f>VLOOKUP("0"&amp;"_"&amp;$B$22&amp;"_"&amp;$A24,Лист2!$A$2:$Q$301,COLUMN()-COLUMN($A24)+1,FALSE)</f>
        <v>580.65</v>
      </c>
      <c r="Q24">
        <f>VLOOKUP("0"&amp;"_"&amp;$B$22&amp;"_"&amp;$A24,Лист2!$A$2:$Q$301,COLUMN()-COLUMN($A24)+1,FALSE)</f>
        <v>1</v>
      </c>
    </row>
    <row r="25" spans="1:17" x14ac:dyDescent="0.25">
      <c r="A25">
        <f t="shared" si="12"/>
        <v>18</v>
      </c>
      <c r="B25">
        <f>VLOOKUP("0"&amp;"_"&amp;$B$22&amp;"_"&amp;$A25,Лист2!$A$2:$Q$301,COLUMN()-COLUMN($A25)+1,FALSE)</f>
        <v>0</v>
      </c>
      <c r="C25">
        <f>VLOOKUP("0"&amp;"_"&amp;$B$22&amp;"_"&amp;$A25,Лист2!$A$2:$Q$301,COLUMN()-COLUMN($A25)+1,FALSE)</f>
        <v>1.61</v>
      </c>
      <c r="D25">
        <f>VLOOKUP("0"&amp;"_"&amp;$B$22&amp;"_"&amp;$A25,Лист2!$A$2:$Q$301,COLUMN()-COLUMN($A25)+1,FALSE)</f>
        <v>4799</v>
      </c>
      <c r="E25">
        <f>VLOOKUP("0"&amp;"_"&amp;$B$22&amp;"_"&amp;$A25,Лист2!$A$2:$Q$301,COLUMN()-COLUMN($A25)+1,FALSE)</f>
        <v>0.91</v>
      </c>
      <c r="F25">
        <f>VLOOKUP("0"&amp;"_"&amp;$B$22&amp;"_"&amp;$A25,Лист2!$A$2:$Q$301,COLUMN()-COLUMN($A25)+1,FALSE)</f>
        <v>2.2799999999999998</v>
      </c>
      <c r="G25">
        <f>VLOOKUP("0"&amp;"_"&amp;$B$22&amp;"_"&amp;$A25,Лист2!$A$2:$Q$301,COLUMN()-COLUMN($A25)+1,FALSE)</f>
        <v>2.2799999999999998</v>
      </c>
      <c r="H25">
        <f>VLOOKUP("0"&amp;"_"&amp;$B$22&amp;"_"&amp;$A25,Лист2!$A$2:$Q$301,COLUMN()-COLUMN($A25)+1,FALSE)</f>
        <v>3.68</v>
      </c>
      <c r="I25">
        <f>VLOOKUP("0"&amp;"_"&amp;$B$22&amp;"_"&amp;$A25,Лист2!$A$2:$Q$301,COLUMN()-COLUMN($A25)+1,FALSE)</f>
        <v>3.68</v>
      </c>
      <c r="J25">
        <f>VLOOKUP("0"&amp;"_"&amp;$B$22&amp;"_"&amp;$A25,Лист2!$A$2:$Q$301,COLUMN()-COLUMN($A25)+1,FALSE)</f>
        <v>5</v>
      </c>
      <c r="K25">
        <f>VLOOKUP("0"&amp;"_"&amp;$B$22&amp;"_"&amp;$A25,Лист2!$A$2:$Q$301,COLUMN()-COLUMN($A25)+1,FALSE)</f>
        <v>16000</v>
      </c>
      <c r="L25">
        <f>VLOOKUP("0"&amp;"_"&amp;$B$22&amp;"_"&amp;$A25,Лист2!$A$2:$Q$301,COLUMN()-COLUMN($A25)+1,FALSE)</f>
        <v>18</v>
      </c>
      <c r="M25">
        <f>VLOOKUP("0"&amp;"_"&amp;$B$22&amp;"_"&amp;$A25,Лист2!$A$2:$Q$301,COLUMN()-COLUMN($A25)+1,FALSE)</f>
        <v>1.32</v>
      </c>
      <c r="N25" t="str">
        <f>VLOOKUP("0"&amp;"_"&amp;$B$22&amp;"_"&amp;$A25,Лист2!$A$2:$Q$301,COLUMN()-COLUMN($A25)+1,FALSE)</f>
        <v>./DKS_math/Test/spch_dimkoef/ГПА-16 40-2,5 Южно-Русское.csv</v>
      </c>
      <c r="O25">
        <f>VLOOKUP("0"&amp;"_"&amp;$B$22&amp;"_"&amp;$A25,Лист2!$A$2:$Q$301,COLUMN()-COLUMN($A25)+1,FALSE)</f>
        <v>100</v>
      </c>
      <c r="P25">
        <f>VLOOKUP("0"&amp;"_"&amp;$B$22&amp;"_"&amp;$A25,Лист2!$A$2:$Q$301,COLUMN()-COLUMN($A25)+1,FALSE)</f>
        <v>540.69000000000005</v>
      </c>
      <c r="Q25">
        <f>VLOOKUP("0"&amp;"_"&amp;$B$22&amp;"_"&amp;$A25,Лист2!$A$2:$Q$301,COLUMN()-COLUMN($A25)+1,FALSE)</f>
        <v>1</v>
      </c>
    </row>
    <row r="26" spans="1:17" x14ac:dyDescent="0.25">
      <c r="A26">
        <f t="shared" si="12"/>
        <v>22</v>
      </c>
      <c r="B26">
        <f>VLOOKUP("0"&amp;"_"&amp;$B$22&amp;"_"&amp;$A26,Лист2!$A$2:$Q$301,COLUMN()-COLUMN($A26)+1,FALSE)</f>
        <v>0</v>
      </c>
      <c r="C26">
        <f>VLOOKUP("0"&amp;"_"&amp;$B$22&amp;"_"&amp;$A26,Лист2!$A$2:$Q$301,COLUMN()-COLUMN($A26)+1,FALSE)</f>
        <v>1.47</v>
      </c>
      <c r="D26">
        <f>VLOOKUP("0"&amp;"_"&amp;$B$22&amp;"_"&amp;$A26,Лист2!$A$2:$Q$301,COLUMN()-COLUMN($A26)+1,FALSE)</f>
        <v>4222</v>
      </c>
      <c r="E26">
        <f>VLOOKUP("0"&amp;"_"&amp;$B$22&amp;"_"&amp;$A26,Лист2!$A$2:$Q$301,COLUMN()-COLUMN($A26)+1,FALSE)</f>
        <v>0.8</v>
      </c>
      <c r="F26">
        <f>VLOOKUP("0"&amp;"_"&amp;$B$22&amp;"_"&amp;$A26,Лист2!$A$2:$Q$301,COLUMN()-COLUMN($A26)+1,FALSE)</f>
        <v>3.11</v>
      </c>
      <c r="G26">
        <f>VLOOKUP("0"&amp;"_"&amp;$B$22&amp;"_"&amp;$A26,Лист2!$A$2:$Q$301,COLUMN()-COLUMN($A26)+1,FALSE)</f>
        <v>3.11</v>
      </c>
      <c r="H26">
        <f>VLOOKUP("0"&amp;"_"&amp;$B$22&amp;"_"&amp;$A26,Лист2!$A$2:$Q$301,COLUMN()-COLUMN($A26)+1,FALSE)</f>
        <v>4.5599999999999996</v>
      </c>
      <c r="I26">
        <f>VLOOKUP("0"&amp;"_"&amp;$B$22&amp;"_"&amp;$A26,Лист2!$A$2:$Q$301,COLUMN()-COLUMN($A26)+1,FALSE)</f>
        <v>4.5599999999999996</v>
      </c>
      <c r="J26">
        <f>VLOOKUP("0"&amp;"_"&amp;$B$22&amp;"_"&amp;$A26,Лист2!$A$2:$Q$301,COLUMN()-COLUMN($A26)+1,FALSE)</f>
        <v>5</v>
      </c>
      <c r="K26">
        <f>VLOOKUP("0"&amp;"_"&amp;$B$22&amp;"_"&amp;$A26,Лист2!$A$2:$Q$301,COLUMN()-COLUMN($A26)+1,FALSE)</f>
        <v>15140.99</v>
      </c>
      <c r="L26">
        <f>VLOOKUP("0"&amp;"_"&amp;$B$22&amp;"_"&amp;$A26,Лист2!$A$2:$Q$301,COLUMN()-COLUMN($A26)+1,FALSE)</f>
        <v>22</v>
      </c>
      <c r="M26">
        <f>VLOOKUP("0"&amp;"_"&amp;$B$22&amp;"_"&amp;$A26,Лист2!$A$2:$Q$301,COLUMN()-COLUMN($A26)+1,FALSE)</f>
        <v>0.44</v>
      </c>
      <c r="N26" t="str">
        <f>VLOOKUP("0"&amp;"_"&amp;$B$22&amp;"_"&amp;$A26,Лист2!$A$2:$Q$301,COLUMN()-COLUMN($A26)+1,FALSE)</f>
        <v>./DKS_math/Test/spch_dimkoef/ГПА-16 40-2,5 Южно-Русское.csv</v>
      </c>
      <c r="O26">
        <f>VLOOKUP("0"&amp;"_"&amp;$B$22&amp;"_"&amp;$A26,Лист2!$A$2:$Q$301,COLUMN()-COLUMN($A26)+1,FALSE)</f>
        <v>100</v>
      </c>
      <c r="P26">
        <f>VLOOKUP("0"&amp;"_"&amp;$B$22&amp;"_"&amp;$A26,Лист2!$A$2:$Q$301,COLUMN()-COLUMN($A26)+1,FALSE)</f>
        <v>475.77</v>
      </c>
      <c r="Q26">
        <f>VLOOKUP("0"&amp;"_"&amp;$B$22&amp;"_"&amp;$A26,Лист2!$A$2:$Q$301,COLUMN()-COLUMN($A26)+1,FALSE)</f>
        <v>1</v>
      </c>
    </row>
    <row r="27" spans="1:17" x14ac:dyDescent="0.25">
      <c r="A27">
        <f t="shared" si="12"/>
        <v>26</v>
      </c>
      <c r="B27">
        <f>VLOOKUP("0"&amp;"_"&amp;$B$22&amp;"_"&amp;$A27,Лист2!$A$2:$Q$301,COLUMN()-COLUMN($A27)+1,FALSE)</f>
        <v>0</v>
      </c>
      <c r="C27">
        <f>VLOOKUP("0"&amp;"_"&amp;$B$22&amp;"_"&amp;$A27,Лист2!$A$2:$Q$301,COLUMN()-COLUMN($A27)+1,FALSE)</f>
        <v>1.26</v>
      </c>
      <c r="D27">
        <f>VLOOKUP("0"&amp;"_"&amp;$B$22&amp;"_"&amp;$A27,Лист2!$A$2:$Q$301,COLUMN()-COLUMN($A27)+1,FALSE)</f>
        <v>3162</v>
      </c>
      <c r="E27">
        <f>VLOOKUP("0"&amp;"_"&amp;$B$22&amp;"_"&amp;$A27,Лист2!$A$2:$Q$301,COLUMN()-COLUMN($A27)+1,FALSE)</f>
        <v>0.6</v>
      </c>
      <c r="F27">
        <f>VLOOKUP("0"&amp;"_"&amp;$B$22&amp;"_"&amp;$A27,Лист2!$A$2:$Q$301,COLUMN()-COLUMN($A27)+1,FALSE)</f>
        <v>4.74</v>
      </c>
      <c r="G27">
        <f>VLOOKUP("0"&amp;"_"&amp;$B$22&amp;"_"&amp;$A27,Лист2!$A$2:$Q$301,COLUMN()-COLUMN($A27)+1,FALSE)</f>
        <v>4.74</v>
      </c>
      <c r="H27">
        <f>VLOOKUP("0"&amp;"_"&amp;$B$22&amp;"_"&amp;$A27,Лист2!$A$2:$Q$301,COLUMN()-COLUMN($A27)+1,FALSE)</f>
        <v>5.95</v>
      </c>
      <c r="I27">
        <f>VLOOKUP("0"&amp;"_"&amp;$B$22&amp;"_"&amp;$A27,Лист2!$A$2:$Q$301,COLUMN()-COLUMN($A27)+1,FALSE)</f>
        <v>5.95</v>
      </c>
      <c r="J27">
        <f>VLOOKUP("0"&amp;"_"&amp;$B$22&amp;"_"&amp;$A27,Лист2!$A$2:$Q$301,COLUMN()-COLUMN($A27)+1,FALSE)</f>
        <v>5</v>
      </c>
      <c r="K27">
        <f>VLOOKUP("0"&amp;"_"&amp;$B$22&amp;"_"&amp;$A27,Лист2!$A$2:$Q$301,COLUMN()-COLUMN($A27)+1,FALSE)</f>
        <v>10034.09</v>
      </c>
      <c r="L27">
        <f>VLOOKUP("0"&amp;"_"&amp;$B$22&amp;"_"&amp;$A27,Лист2!$A$2:$Q$301,COLUMN()-COLUMN($A27)+1,FALSE)</f>
        <v>26</v>
      </c>
      <c r="M27">
        <f>VLOOKUP("0"&amp;"_"&amp;$B$22&amp;"_"&amp;$A27,Лист2!$A$2:$Q$301,COLUMN()-COLUMN($A27)+1,FALSE)</f>
        <v>0.95</v>
      </c>
      <c r="N27" t="str">
        <f>VLOOKUP("0"&amp;"_"&amp;$B$22&amp;"_"&amp;$A27,Лист2!$A$2:$Q$301,COLUMN()-COLUMN($A27)+1,FALSE)</f>
        <v>./DKS_math/Test/spch_dimkoef/ГПА-16 40-2,5 Южно-Русское.csv</v>
      </c>
      <c r="O27">
        <f>VLOOKUP("0"&amp;"_"&amp;$B$22&amp;"_"&amp;$A27,Лист2!$A$2:$Q$301,COLUMN()-COLUMN($A27)+1,FALSE)</f>
        <v>100</v>
      </c>
      <c r="P27">
        <f>VLOOKUP("0"&amp;"_"&amp;$B$22&amp;"_"&amp;$A27,Лист2!$A$2:$Q$301,COLUMN()-COLUMN($A27)+1,FALSE)</f>
        <v>356.27</v>
      </c>
      <c r="Q27">
        <f>VLOOKUP("0"&amp;"_"&amp;$B$22&amp;"_"&amp;$A27,Лист2!$A$2:$Q$301,COLUMN()-COLUMN($A27)+1,FALSE)</f>
        <v>1</v>
      </c>
    </row>
    <row r="28" spans="1:17" x14ac:dyDescent="0.25">
      <c r="A28">
        <f t="shared" si="12"/>
        <v>30</v>
      </c>
      <c r="B28">
        <f>VLOOKUP("0"&amp;"_"&amp;$B$22&amp;"_"&amp;$A28,Лист2!$A$2:$Q$301,COLUMN()-COLUMN($A28)+1,FALSE)</f>
        <v>0</v>
      </c>
      <c r="C28">
        <f>VLOOKUP("0"&amp;"_"&amp;$B$22&amp;"_"&amp;$A28,Лист2!$A$2:$Q$301,COLUMN()-COLUMN($A28)+1,FALSE)</f>
        <v>1.38</v>
      </c>
      <c r="D28">
        <f>VLOOKUP("0"&amp;"_"&amp;$B$22&amp;"_"&amp;$A28,Лист2!$A$2:$Q$301,COLUMN()-COLUMN($A28)+1,FALSE)</f>
        <v>3868</v>
      </c>
      <c r="E28">
        <f>VLOOKUP("0"&amp;"_"&amp;$B$22&amp;"_"&amp;$A28,Лист2!$A$2:$Q$301,COLUMN()-COLUMN($A28)+1,FALSE)</f>
        <v>0.73</v>
      </c>
      <c r="F28">
        <f>VLOOKUP("0"&amp;"_"&amp;$B$22&amp;"_"&amp;$A28,Лист2!$A$2:$Q$301,COLUMN()-COLUMN($A28)+1,FALSE)</f>
        <v>2.35</v>
      </c>
      <c r="G28">
        <f>VLOOKUP("0"&amp;"_"&amp;$B$22&amp;"_"&amp;$A28,Лист2!$A$2:$Q$301,COLUMN()-COLUMN($A28)+1,FALSE)</f>
        <v>2.35</v>
      </c>
      <c r="H28">
        <f>VLOOKUP("0"&amp;"_"&amp;$B$22&amp;"_"&amp;$A28,Лист2!$A$2:$Q$301,COLUMN()-COLUMN($A28)+1,FALSE)</f>
        <v>3.24</v>
      </c>
      <c r="I28">
        <f>VLOOKUP("0"&amp;"_"&amp;$B$22&amp;"_"&amp;$A28,Лист2!$A$2:$Q$301,COLUMN()-COLUMN($A28)+1,FALSE)</f>
        <v>3.24</v>
      </c>
      <c r="J28">
        <f>VLOOKUP("0"&amp;"_"&amp;$B$22&amp;"_"&amp;$A28,Лист2!$A$2:$Q$301,COLUMN()-COLUMN($A28)+1,FALSE)</f>
        <v>5</v>
      </c>
      <c r="K28">
        <f>VLOOKUP("0"&amp;"_"&amp;$B$22&amp;"_"&amp;$A28,Лист2!$A$2:$Q$301,COLUMN()-COLUMN($A28)+1,FALSE)</f>
        <v>8665.34</v>
      </c>
      <c r="L28">
        <f>VLOOKUP("0"&amp;"_"&amp;$B$22&amp;"_"&amp;$A28,Лист2!$A$2:$Q$301,COLUMN()-COLUMN($A28)+1,FALSE)</f>
        <v>30</v>
      </c>
      <c r="M28">
        <f>VLOOKUP("0"&amp;"_"&amp;$B$22&amp;"_"&amp;$A28,Лист2!$A$2:$Q$301,COLUMN()-COLUMN($A28)+1,FALSE)</f>
        <v>1.76</v>
      </c>
      <c r="N28" t="str">
        <f>VLOOKUP("0"&amp;"_"&amp;$B$22&amp;"_"&amp;$A28,Лист2!$A$2:$Q$301,COLUMN()-COLUMN($A28)+1,FALSE)</f>
        <v>./DKS_math/Test/spch_dimkoef/ГПА-16 40-2,5 Южно-Русское.csv</v>
      </c>
      <c r="O28">
        <f>VLOOKUP("0"&amp;"_"&amp;$B$22&amp;"_"&amp;$A28,Лист2!$A$2:$Q$301,COLUMN()-COLUMN($A28)+1,FALSE)</f>
        <v>100</v>
      </c>
      <c r="P28">
        <f>VLOOKUP("0"&amp;"_"&amp;$B$22&amp;"_"&amp;$A28,Лист2!$A$2:$Q$301,COLUMN()-COLUMN($A28)+1,FALSE)</f>
        <v>435.89</v>
      </c>
      <c r="Q28">
        <f>VLOOKUP("0"&amp;"_"&amp;$B$22&amp;"_"&amp;$A28,Лист2!$A$2:$Q$301,COLUMN()-COLUMN($A28)+1,FALSE)</f>
        <v>2</v>
      </c>
    </row>
    <row r="29" spans="1:17" x14ac:dyDescent="0.25">
      <c r="A29">
        <f t="shared" si="12"/>
        <v>34</v>
      </c>
      <c r="B29">
        <f>VLOOKUP("0"&amp;"_"&amp;$B$22&amp;"_"&amp;$A29,Лист2!$A$2:$Q$301,COLUMN()-COLUMN($A29)+1,FALSE)</f>
        <v>0</v>
      </c>
      <c r="C29">
        <f>VLOOKUP("0"&amp;"_"&amp;$B$22&amp;"_"&amp;$A29,Лист2!$A$2:$Q$301,COLUMN()-COLUMN($A29)+1,FALSE)</f>
        <v>1.32</v>
      </c>
      <c r="D29">
        <f>VLOOKUP("0"&amp;"_"&amp;$B$22&amp;"_"&amp;$A29,Лист2!$A$2:$Q$301,COLUMN()-COLUMN($A29)+1,FALSE)</f>
        <v>3565</v>
      </c>
      <c r="E29">
        <f>VLOOKUP("0"&amp;"_"&amp;$B$22&amp;"_"&amp;$A29,Лист2!$A$2:$Q$301,COLUMN()-COLUMN($A29)+1,FALSE)</f>
        <v>0.67</v>
      </c>
      <c r="F29">
        <f>VLOOKUP("0"&amp;"_"&amp;$B$22&amp;"_"&amp;$A29,Лист2!$A$2:$Q$301,COLUMN()-COLUMN($A29)+1,FALSE)</f>
        <v>2.86</v>
      </c>
      <c r="G29">
        <f>VLOOKUP("0"&amp;"_"&amp;$B$22&amp;"_"&amp;$A29,Лист2!$A$2:$Q$301,COLUMN()-COLUMN($A29)+1,FALSE)</f>
        <v>2.86</v>
      </c>
      <c r="H29">
        <f>VLOOKUP("0"&amp;"_"&amp;$B$22&amp;"_"&amp;$A29,Лист2!$A$2:$Q$301,COLUMN()-COLUMN($A29)+1,FALSE)</f>
        <v>3.77</v>
      </c>
      <c r="I29">
        <f>VLOOKUP("0"&amp;"_"&amp;$B$22&amp;"_"&amp;$A29,Лист2!$A$2:$Q$301,COLUMN()-COLUMN($A29)+1,FALSE)</f>
        <v>3.77</v>
      </c>
      <c r="J29">
        <f>VLOOKUP("0"&amp;"_"&amp;$B$22&amp;"_"&amp;$A29,Лист2!$A$2:$Q$301,COLUMN()-COLUMN($A29)+1,FALSE)</f>
        <v>5</v>
      </c>
      <c r="K29">
        <f>VLOOKUP("0"&amp;"_"&amp;$B$22&amp;"_"&amp;$A29,Лист2!$A$2:$Q$301,COLUMN()-COLUMN($A29)+1,FALSE)</f>
        <v>8340.3700000000008</v>
      </c>
      <c r="L29">
        <f>VLOOKUP("0"&amp;"_"&amp;$B$22&amp;"_"&amp;$A29,Лист2!$A$2:$Q$301,COLUMN()-COLUMN($A29)+1,FALSE)</f>
        <v>34</v>
      </c>
      <c r="M29">
        <f>VLOOKUP("0"&amp;"_"&amp;$B$22&amp;"_"&amp;$A29,Лист2!$A$2:$Q$301,COLUMN()-COLUMN($A29)+1,FALSE)</f>
        <v>1.23</v>
      </c>
      <c r="N29" t="str">
        <f>VLOOKUP("0"&amp;"_"&amp;$B$22&amp;"_"&amp;$A29,Лист2!$A$2:$Q$301,COLUMN()-COLUMN($A29)+1,FALSE)</f>
        <v>./DKS_math/Test/spch_dimkoef/ГПА-16 40-2,5 Южно-Русское.csv</v>
      </c>
      <c r="O29">
        <f>VLOOKUP("0"&amp;"_"&amp;$B$22&amp;"_"&amp;$A29,Лист2!$A$2:$Q$301,COLUMN()-COLUMN($A29)+1,FALSE)</f>
        <v>100</v>
      </c>
      <c r="P29">
        <f>VLOOKUP("0"&amp;"_"&amp;$B$22&amp;"_"&amp;$A29,Лист2!$A$2:$Q$301,COLUMN()-COLUMN($A29)+1,FALSE)</f>
        <v>401.69</v>
      </c>
      <c r="Q29">
        <f>VLOOKUP("0"&amp;"_"&amp;$B$22&amp;"_"&amp;$A29,Лист2!$A$2:$Q$301,COLUMN()-COLUMN($A29)+1,FALSE)</f>
        <v>2</v>
      </c>
    </row>
    <row r="30" spans="1:17" x14ac:dyDescent="0.25">
      <c r="A30">
        <f t="shared" si="12"/>
        <v>38</v>
      </c>
      <c r="B30">
        <f>VLOOKUP("0"&amp;"_"&amp;$B$22&amp;"_"&amp;$A30,Лист2!$A$2:$Q$301,COLUMN()-COLUMN($A30)+1,FALSE)</f>
        <v>0</v>
      </c>
      <c r="C30">
        <f>VLOOKUP("0"&amp;"_"&amp;$B$22&amp;"_"&amp;$A30,Лист2!$A$2:$Q$301,COLUMN()-COLUMN($A30)+1,FALSE)</f>
        <v>1.58</v>
      </c>
      <c r="D30">
        <f>VLOOKUP("0"&amp;"_"&amp;$B$22&amp;"_"&amp;$A30,Лист2!$A$2:$Q$301,COLUMN()-COLUMN($A30)+1,FALSE)</f>
        <v>4671</v>
      </c>
      <c r="E30">
        <f>VLOOKUP("0"&amp;"_"&amp;$B$22&amp;"_"&amp;$A30,Лист2!$A$2:$Q$301,COLUMN()-COLUMN($A30)+1,FALSE)</f>
        <v>0.88</v>
      </c>
      <c r="F30">
        <f>VLOOKUP("0"&amp;"_"&amp;$B$22&amp;"_"&amp;$A30,Лист2!$A$2:$Q$301,COLUMN()-COLUMN($A30)+1,FALSE)</f>
        <v>2.46</v>
      </c>
      <c r="G30">
        <f>VLOOKUP("0"&amp;"_"&amp;$B$22&amp;"_"&amp;$A30,Лист2!$A$2:$Q$301,COLUMN()-COLUMN($A30)+1,FALSE)</f>
        <v>2.46</v>
      </c>
      <c r="H30">
        <f>VLOOKUP("0"&amp;"_"&amp;$B$22&amp;"_"&amp;$A30,Лист2!$A$2:$Q$301,COLUMN()-COLUMN($A30)+1,FALSE)</f>
        <v>3.89</v>
      </c>
      <c r="I30">
        <f>VLOOKUP("0"&amp;"_"&amp;$B$22&amp;"_"&amp;$A30,Лист2!$A$2:$Q$301,COLUMN()-COLUMN($A30)+1,FALSE)</f>
        <v>3.89</v>
      </c>
      <c r="J30">
        <f>VLOOKUP("0"&amp;"_"&amp;$B$22&amp;"_"&amp;$A30,Лист2!$A$2:$Q$301,COLUMN()-COLUMN($A30)+1,FALSE)</f>
        <v>5</v>
      </c>
      <c r="K30">
        <f>VLOOKUP("0"&amp;"_"&amp;$B$22&amp;"_"&amp;$A30,Лист2!$A$2:$Q$301,COLUMN()-COLUMN($A30)+1,FALSE)</f>
        <v>16000</v>
      </c>
      <c r="L30">
        <f>VLOOKUP("0"&amp;"_"&amp;$B$22&amp;"_"&amp;$A30,Лист2!$A$2:$Q$301,COLUMN()-COLUMN($A30)+1,FALSE)</f>
        <v>38</v>
      </c>
      <c r="M30">
        <f>VLOOKUP("0"&amp;"_"&amp;$B$22&amp;"_"&amp;$A30,Лист2!$A$2:$Q$301,COLUMN()-COLUMN($A30)+1,FALSE)</f>
        <v>1.1100000000000001</v>
      </c>
      <c r="N30" t="str">
        <f>VLOOKUP("0"&amp;"_"&amp;$B$22&amp;"_"&amp;$A30,Лист2!$A$2:$Q$301,COLUMN()-COLUMN($A30)+1,FALSE)</f>
        <v>./DKS_math/Test/spch_dimkoef/ГПА-16 40-2,5 Южно-Русское.csv</v>
      </c>
      <c r="O30">
        <f>VLOOKUP("0"&amp;"_"&amp;$B$22&amp;"_"&amp;$A30,Лист2!$A$2:$Q$301,COLUMN()-COLUMN($A30)+1,FALSE)</f>
        <v>100</v>
      </c>
      <c r="P30">
        <f>VLOOKUP("0"&amp;"_"&amp;$B$22&amp;"_"&amp;$A30,Лист2!$A$2:$Q$301,COLUMN()-COLUMN($A30)+1,FALSE)</f>
        <v>526.27</v>
      </c>
      <c r="Q30">
        <f>VLOOKUP("0"&amp;"_"&amp;$B$22&amp;"_"&amp;$A30,Лист2!$A$2:$Q$301,COLUMN()-COLUMN($A30)+1,FALSE)</f>
        <v>2</v>
      </c>
    </row>
    <row r="31" spans="1:17" x14ac:dyDescent="0.25">
      <c r="A31">
        <f t="shared" si="12"/>
        <v>42</v>
      </c>
      <c r="B31">
        <f>VLOOKUP("0"&amp;"_"&amp;$B$22&amp;"_"&amp;$A31,Лист2!$A$2:$Q$301,COLUMN()-COLUMN($A31)+1,FALSE)</f>
        <v>0</v>
      </c>
      <c r="C31">
        <f>VLOOKUP("0"&amp;"_"&amp;$B$22&amp;"_"&amp;$A31,Лист2!$A$2:$Q$301,COLUMN()-COLUMN($A31)+1,FALSE)</f>
        <v>1.31</v>
      </c>
      <c r="D31">
        <f>VLOOKUP("0"&amp;"_"&amp;$B$22&amp;"_"&amp;$A31,Лист2!$A$2:$Q$301,COLUMN()-COLUMN($A31)+1,FALSE)</f>
        <v>3508</v>
      </c>
      <c r="E31">
        <f>VLOOKUP("0"&amp;"_"&amp;$B$22&amp;"_"&amp;$A31,Лист2!$A$2:$Q$301,COLUMN()-COLUMN($A31)+1,FALSE)</f>
        <v>0.66</v>
      </c>
      <c r="F31">
        <f>VLOOKUP("0"&amp;"_"&amp;$B$22&amp;"_"&amp;$A31,Лист2!$A$2:$Q$301,COLUMN()-COLUMN($A31)+1,FALSE)</f>
        <v>3.54</v>
      </c>
      <c r="G31">
        <f>VLOOKUP("0"&amp;"_"&amp;$B$22&amp;"_"&amp;$A31,Лист2!$A$2:$Q$301,COLUMN()-COLUMN($A31)+1,FALSE)</f>
        <v>3.54</v>
      </c>
      <c r="H31">
        <f>VLOOKUP("0"&amp;"_"&amp;$B$22&amp;"_"&amp;$A31,Лист2!$A$2:$Q$301,COLUMN()-COLUMN($A31)+1,FALSE)</f>
        <v>4.6500000000000004</v>
      </c>
      <c r="I31">
        <f>VLOOKUP("0"&amp;"_"&amp;$B$22&amp;"_"&amp;$A31,Лист2!$A$2:$Q$301,COLUMN()-COLUMN($A31)+1,FALSE)</f>
        <v>4.6500000000000004</v>
      </c>
      <c r="J31">
        <f>VLOOKUP("0"&amp;"_"&amp;$B$22&amp;"_"&amp;$A31,Лист2!$A$2:$Q$301,COLUMN()-COLUMN($A31)+1,FALSE)</f>
        <v>5</v>
      </c>
      <c r="K31">
        <f>VLOOKUP("0"&amp;"_"&amp;$B$22&amp;"_"&amp;$A31,Лист2!$A$2:$Q$301,COLUMN()-COLUMN($A31)+1,FALSE)</f>
        <v>9976.9</v>
      </c>
      <c r="L31">
        <f>VLOOKUP("0"&amp;"_"&amp;$B$22&amp;"_"&amp;$A31,Лист2!$A$2:$Q$301,COLUMN()-COLUMN($A31)+1,FALSE)</f>
        <v>42</v>
      </c>
      <c r="M31">
        <f>VLOOKUP("0"&amp;"_"&amp;$B$22&amp;"_"&amp;$A31,Лист2!$A$2:$Q$301,COLUMN()-COLUMN($A31)+1,FALSE)</f>
        <v>0.35</v>
      </c>
      <c r="N31" t="str">
        <f>VLOOKUP("0"&amp;"_"&amp;$B$22&amp;"_"&amp;$A31,Лист2!$A$2:$Q$301,COLUMN()-COLUMN($A31)+1,FALSE)</f>
        <v>./DKS_math/Test/spch_dimkoef/ГПА-16 40-2,5 Южно-Русское.csv</v>
      </c>
      <c r="O31">
        <f>VLOOKUP("0"&amp;"_"&amp;$B$22&amp;"_"&amp;$A31,Лист2!$A$2:$Q$301,COLUMN()-COLUMN($A31)+1,FALSE)</f>
        <v>100</v>
      </c>
      <c r="P31">
        <f>VLOOKUP("0"&amp;"_"&amp;$B$22&amp;"_"&amp;$A31,Лист2!$A$2:$Q$301,COLUMN()-COLUMN($A31)+1,FALSE)</f>
        <v>395.29</v>
      </c>
      <c r="Q31">
        <f>VLOOKUP("0"&amp;"_"&amp;$B$22&amp;"_"&amp;$A31,Лист2!$A$2:$Q$301,COLUMN()-COLUMN($A31)+1,FALSE)</f>
        <v>2</v>
      </c>
    </row>
    <row r="32" spans="1:17" x14ac:dyDescent="0.25">
      <c r="A32">
        <f t="shared" si="12"/>
        <v>46</v>
      </c>
      <c r="B32">
        <f>VLOOKUP("0"&amp;"_"&amp;$B$22&amp;"_"&amp;$A32,Лист2!$A$2:$Q$301,COLUMN()-COLUMN($A32)+1,FALSE)</f>
        <v>0</v>
      </c>
      <c r="C32">
        <f>VLOOKUP("0"&amp;"_"&amp;$B$22&amp;"_"&amp;$A32,Лист2!$A$2:$Q$301,COLUMN()-COLUMN($A32)+1,FALSE)</f>
        <v>1.27</v>
      </c>
      <c r="D32">
        <f>VLOOKUP("0"&amp;"_"&amp;$B$22&amp;"_"&amp;$A32,Лист2!$A$2:$Q$301,COLUMN()-COLUMN($A32)+1,FALSE)</f>
        <v>3274</v>
      </c>
      <c r="E32">
        <f>VLOOKUP("0"&amp;"_"&amp;$B$22&amp;"_"&amp;$A32,Лист2!$A$2:$Q$301,COLUMN()-COLUMN($A32)+1,FALSE)</f>
        <v>0.62</v>
      </c>
      <c r="F32">
        <f>VLOOKUP("0"&amp;"_"&amp;$B$22&amp;"_"&amp;$A32,Лист2!$A$2:$Q$301,COLUMN()-COLUMN($A32)+1,FALSE)</f>
        <v>4.1100000000000003</v>
      </c>
      <c r="G32">
        <f>VLOOKUP("0"&amp;"_"&amp;$B$22&amp;"_"&amp;$A32,Лист2!$A$2:$Q$301,COLUMN()-COLUMN($A32)+1,FALSE)</f>
        <v>4.1100000000000003</v>
      </c>
      <c r="H32">
        <f>VLOOKUP("0"&amp;"_"&amp;$B$22&amp;"_"&amp;$A32,Лист2!$A$2:$Q$301,COLUMN()-COLUMN($A32)+1,FALSE)</f>
        <v>5.22</v>
      </c>
      <c r="I32">
        <f>VLOOKUP("0"&amp;"_"&amp;$B$22&amp;"_"&amp;$A32,Лист2!$A$2:$Q$301,COLUMN()-COLUMN($A32)+1,FALSE)</f>
        <v>5.22</v>
      </c>
      <c r="J32">
        <f>VLOOKUP("0"&amp;"_"&amp;$B$22&amp;"_"&amp;$A32,Лист2!$A$2:$Q$301,COLUMN()-COLUMN($A32)+1,FALSE)</f>
        <v>5</v>
      </c>
      <c r="K32">
        <f>VLOOKUP("0"&amp;"_"&amp;$B$22&amp;"_"&amp;$A32,Лист2!$A$2:$Q$301,COLUMN()-COLUMN($A32)+1,FALSE)</f>
        <v>9516.59</v>
      </c>
      <c r="L32">
        <f>VLOOKUP("0"&amp;"_"&amp;$B$22&amp;"_"&amp;$A32,Лист2!$A$2:$Q$301,COLUMN()-COLUMN($A32)+1,FALSE)</f>
        <v>46</v>
      </c>
      <c r="M32">
        <f>VLOOKUP("0"&amp;"_"&amp;$B$22&amp;"_"&amp;$A32,Лист2!$A$2:$Q$301,COLUMN()-COLUMN($A32)+1,FALSE)</f>
        <v>0.22</v>
      </c>
      <c r="N32" t="str">
        <f>VLOOKUP("0"&amp;"_"&amp;$B$22&amp;"_"&amp;$A32,Лист2!$A$2:$Q$301,COLUMN()-COLUMN($A32)+1,FALSE)</f>
        <v>./DKS_math/Test/spch_dimkoef/ГПА-16 40-2,5 Южно-Русское.csv</v>
      </c>
      <c r="O32">
        <f>VLOOKUP("0"&amp;"_"&amp;$B$22&amp;"_"&amp;$A32,Лист2!$A$2:$Q$301,COLUMN()-COLUMN($A32)+1,FALSE)</f>
        <v>100</v>
      </c>
      <c r="P32">
        <f>VLOOKUP("0"&amp;"_"&amp;$B$22&amp;"_"&amp;$A32,Лист2!$A$2:$Q$301,COLUMN()-COLUMN($A32)+1,FALSE)</f>
        <v>368.9</v>
      </c>
      <c r="Q32">
        <f>VLOOKUP("0"&amp;"_"&amp;$B$22&amp;"_"&amp;$A32,Лист2!$A$2:$Q$301,COLUMN()-COLUMN($A32)+1,FALSE)</f>
        <v>2</v>
      </c>
    </row>
    <row r="33" spans="1:17" x14ac:dyDescent="0.25">
      <c r="A33">
        <f t="shared" si="12"/>
        <v>50</v>
      </c>
      <c r="B33">
        <f>VLOOKUP("0"&amp;"_"&amp;$B$22&amp;"_"&amp;$A33,Лист2!$A$2:$Q$301,COLUMN()-COLUMN($A33)+1,FALSE)</f>
        <v>0</v>
      </c>
      <c r="C33">
        <f>VLOOKUP("0"&amp;"_"&amp;$B$22&amp;"_"&amp;$A33,Лист2!$A$2:$Q$301,COLUMN()-COLUMN($A33)+1,FALSE)</f>
        <v>1.43</v>
      </c>
      <c r="D33">
        <f>VLOOKUP("0"&amp;"_"&amp;$B$22&amp;"_"&amp;$A33,Лист2!$A$2:$Q$301,COLUMN()-COLUMN($A33)+1,FALSE)</f>
        <v>4072</v>
      </c>
      <c r="E33">
        <f>VLOOKUP("0"&amp;"_"&amp;$B$22&amp;"_"&amp;$A33,Лист2!$A$2:$Q$301,COLUMN()-COLUMN($A33)+1,FALSE)</f>
        <v>0.77</v>
      </c>
      <c r="F33">
        <f>VLOOKUP("0"&amp;"_"&amp;$B$22&amp;"_"&amp;$A33,Лист2!$A$2:$Q$301,COLUMN()-COLUMN($A33)+1,FALSE)</f>
        <v>3.63</v>
      </c>
      <c r="G33">
        <f>VLOOKUP("0"&amp;"_"&amp;$B$22&amp;"_"&amp;$A33,Лист2!$A$2:$Q$301,COLUMN()-COLUMN($A33)+1,FALSE)</f>
        <v>3.63</v>
      </c>
      <c r="H33">
        <f>VLOOKUP("0"&amp;"_"&amp;$B$22&amp;"_"&amp;$A33,Лист2!$A$2:$Q$301,COLUMN()-COLUMN($A33)+1,FALSE)</f>
        <v>5.2</v>
      </c>
      <c r="I33">
        <f>VLOOKUP("0"&amp;"_"&amp;$B$22&amp;"_"&amp;$A33,Лист2!$A$2:$Q$301,COLUMN()-COLUMN($A33)+1,FALSE)</f>
        <v>5.2</v>
      </c>
      <c r="J33">
        <f>VLOOKUP("0"&amp;"_"&amp;$B$22&amp;"_"&amp;$A33,Лист2!$A$2:$Q$301,COLUMN()-COLUMN($A33)+1,FALSE)</f>
        <v>5</v>
      </c>
      <c r="K33">
        <f>VLOOKUP("0"&amp;"_"&amp;$B$22&amp;"_"&amp;$A33,Лист2!$A$2:$Q$301,COLUMN()-COLUMN($A33)+1,FALSE)</f>
        <v>16000</v>
      </c>
      <c r="L33">
        <f>VLOOKUP("0"&amp;"_"&amp;$B$22&amp;"_"&amp;$A33,Лист2!$A$2:$Q$301,COLUMN()-COLUMN($A33)+1,FALSE)</f>
        <v>50</v>
      </c>
      <c r="M33">
        <f>VLOOKUP("0"&amp;"_"&amp;$B$22&amp;"_"&amp;$A33,Лист2!$A$2:$Q$301,COLUMN()-COLUMN($A33)+1,FALSE)</f>
        <v>0.2</v>
      </c>
      <c r="N33" t="str">
        <f>VLOOKUP("0"&amp;"_"&amp;$B$22&amp;"_"&amp;$A33,Лист2!$A$2:$Q$301,COLUMN()-COLUMN($A33)+1,FALSE)</f>
        <v>./DKS_math/Test/spch_dimkoef/ГПА-16 40-2,5 Южно-Русское.csv</v>
      </c>
      <c r="O33">
        <f>VLOOKUP("0"&amp;"_"&amp;$B$22&amp;"_"&amp;$A33,Лист2!$A$2:$Q$301,COLUMN()-COLUMN($A33)+1,FALSE)</f>
        <v>100</v>
      </c>
      <c r="P33">
        <f>VLOOKUP("0"&amp;"_"&amp;$B$22&amp;"_"&amp;$A33,Лист2!$A$2:$Q$301,COLUMN()-COLUMN($A33)+1,FALSE)</f>
        <v>458.79</v>
      </c>
      <c r="Q33">
        <f>VLOOKUP("0"&amp;"_"&amp;$B$22&amp;"_"&amp;$A33,Лист2!$A$2:$Q$301,COLUMN()-COLUMN($A33)+1,FALSE)</f>
        <v>2</v>
      </c>
    </row>
    <row r="34" spans="1:17" x14ac:dyDescent="0.25">
      <c r="A34">
        <f t="shared" si="12"/>
        <v>54</v>
      </c>
      <c r="B34">
        <f>VLOOKUP("0"&amp;"_"&amp;$B$22&amp;"_"&amp;$A34,Лист2!$A$2:$Q$301,COLUMN()-COLUMN($A34)+1,FALSE)</f>
        <v>0</v>
      </c>
      <c r="C34">
        <f>VLOOKUP("0"&amp;"_"&amp;$B$22&amp;"_"&amp;$A34,Лист2!$A$2:$Q$301,COLUMN()-COLUMN($A34)+1,FALSE)</f>
        <v>1.56</v>
      </c>
      <c r="D34">
        <f>VLOOKUP("0"&amp;"_"&amp;$B$22&amp;"_"&amp;$A34,Лист2!$A$2:$Q$301,COLUMN()-COLUMN($A34)+1,FALSE)</f>
        <v>3382</v>
      </c>
      <c r="E34">
        <f>VLOOKUP("0"&amp;"_"&amp;$B$22&amp;"_"&amp;$A34,Лист2!$A$2:$Q$301,COLUMN()-COLUMN($A34)+1,FALSE)</f>
        <v>0.64</v>
      </c>
      <c r="F34">
        <f>VLOOKUP("0"&amp;"_"&amp;$B$22&amp;"_"&amp;$A34,Лист2!$A$2:$Q$301,COLUMN()-COLUMN($A34)+1,FALSE)</f>
        <v>3.57</v>
      </c>
      <c r="G34">
        <f>VLOOKUP("0"&amp;"_"&amp;$B$22&amp;"_"&amp;$A34,Лист2!$A$2:$Q$301,COLUMN()-COLUMN($A34)+1,FALSE)</f>
        <v>3.57</v>
      </c>
      <c r="H34">
        <f>VLOOKUP("0"&amp;"_"&amp;$B$22&amp;"_"&amp;$A34,Лист2!$A$2:$Q$301,COLUMN()-COLUMN($A34)+1,FALSE)</f>
        <v>5.58</v>
      </c>
      <c r="I34">
        <f>VLOOKUP("0"&amp;"_"&amp;$B$22&amp;"_"&amp;$A34,Лист2!$A$2:$Q$301,COLUMN()-COLUMN($A34)+1,FALSE)</f>
        <v>5.58</v>
      </c>
      <c r="J34">
        <f>VLOOKUP("0"&amp;"_"&amp;$B$22&amp;"_"&amp;$A34,Лист2!$A$2:$Q$301,COLUMN()-COLUMN($A34)+1,FALSE)</f>
        <v>5</v>
      </c>
      <c r="K34">
        <f>VLOOKUP("0"&amp;"_"&amp;$B$22&amp;"_"&amp;$A34,Лист2!$A$2:$Q$301,COLUMN()-COLUMN($A34)+1,FALSE)</f>
        <v>8902.9500000000007</v>
      </c>
      <c r="L34">
        <f>VLOOKUP("0"&amp;"_"&amp;$B$22&amp;"_"&amp;$A34,Лист2!$A$2:$Q$301,COLUMN()-COLUMN($A34)+1,FALSE)</f>
        <v>54</v>
      </c>
      <c r="M34">
        <f>VLOOKUP("0"&amp;"_"&amp;$B$22&amp;"_"&amp;$A34,Лист2!$A$2:$Q$301,COLUMN()-COLUMN($A34)+1,FALSE)</f>
        <v>0.57999999999999996</v>
      </c>
      <c r="N34" t="str">
        <f>VLOOKUP("0"&amp;"_"&amp;$B$22&amp;"_"&amp;$A34,Лист2!$A$2:$Q$301,COLUMN()-COLUMN($A34)+1,FALSE)</f>
        <v>./DKS_math/Test/spch_dimkoef/ГПА-16 40-2,5 Южно-Русское.csv</v>
      </c>
      <c r="O34">
        <f>VLOOKUP("0"&amp;"_"&amp;$B$22&amp;"_"&amp;$A34,Лист2!$A$2:$Q$301,COLUMN()-COLUMN($A34)+1,FALSE)</f>
        <v>49.97</v>
      </c>
      <c r="P34">
        <f>VLOOKUP("0"&amp;"_"&amp;$B$22&amp;"_"&amp;$A34,Лист2!$A$2:$Q$301,COLUMN()-COLUMN($A34)+1,FALSE)</f>
        <v>252.21</v>
      </c>
      <c r="Q34">
        <f>VLOOKUP("0"&amp;"_"&amp;$B$22&amp;"_"&amp;$A34,Лист2!$A$2:$Q$301,COLUMN()-COLUMN($A34)+1,FALSE)</f>
        <v>4</v>
      </c>
    </row>
    <row r="35" spans="1:17" x14ac:dyDescent="0.25">
      <c r="A35">
        <f>A14</f>
        <v>58</v>
      </c>
      <c r="B35">
        <f>VLOOKUP("0"&amp;"_"&amp;$B$22&amp;"_"&amp;$A35,Лист2!$A$2:$Q$301,COLUMN()-COLUMN($A35)+1,FALSE)</f>
        <v>0</v>
      </c>
      <c r="C35">
        <f>VLOOKUP("0"&amp;"_"&amp;$B$22&amp;"_"&amp;$A35,Лист2!$A$2:$Q$301,COLUMN()-COLUMN($A35)+1,FALSE)</f>
        <v>1.35</v>
      </c>
      <c r="D35">
        <f>VLOOKUP("0"&amp;"_"&amp;$B$22&amp;"_"&amp;$A35,Лист2!$A$2:$Q$301,COLUMN()-COLUMN($A35)+1,FALSE)</f>
        <v>3735</v>
      </c>
      <c r="E35">
        <f>VLOOKUP("0"&amp;"_"&amp;$B$22&amp;"_"&amp;$A35,Лист2!$A$2:$Q$301,COLUMN()-COLUMN($A35)+1,FALSE)</f>
        <v>0.7</v>
      </c>
      <c r="F35">
        <f>VLOOKUP("0"&amp;"_"&amp;$B$22&amp;"_"&amp;$A35,Лист2!$A$2:$Q$301,COLUMN()-COLUMN($A35)+1,FALSE)</f>
        <v>3.09</v>
      </c>
      <c r="G35">
        <f>VLOOKUP("0"&amp;"_"&amp;$B$22&amp;"_"&amp;$A35,Лист2!$A$2:$Q$301,COLUMN()-COLUMN($A35)+1,FALSE)</f>
        <v>3.09</v>
      </c>
      <c r="H35">
        <f>VLOOKUP("0"&amp;"_"&amp;$B$22&amp;"_"&amp;$A35,Лист2!$A$2:$Q$301,COLUMN()-COLUMN($A35)+1,FALSE)</f>
        <v>4.1900000000000004</v>
      </c>
      <c r="I35">
        <f>VLOOKUP("0"&amp;"_"&amp;$B$22&amp;"_"&amp;$A35,Лист2!$A$2:$Q$301,COLUMN()-COLUMN($A35)+1,FALSE)</f>
        <v>4.1900000000000004</v>
      </c>
      <c r="J35">
        <f>VLOOKUP("0"&amp;"_"&amp;$B$22&amp;"_"&amp;$A35,Лист2!$A$2:$Q$301,COLUMN()-COLUMN($A35)+1,FALSE)</f>
        <v>5</v>
      </c>
      <c r="K35">
        <f>VLOOKUP("0"&amp;"_"&amp;$B$22&amp;"_"&amp;$A35,Лист2!$A$2:$Q$301,COLUMN()-COLUMN($A35)+1,FALSE)</f>
        <v>10412.280000000001</v>
      </c>
      <c r="L35">
        <f>VLOOKUP("0"&amp;"_"&amp;$B$22&amp;"_"&amp;$A35,Лист2!$A$2:$Q$301,COLUMN()-COLUMN($A35)+1,FALSE)</f>
        <v>58</v>
      </c>
      <c r="M35">
        <f>VLOOKUP("0"&amp;"_"&amp;$B$22&amp;"_"&amp;$A35,Лист2!$A$2:$Q$301,COLUMN()-COLUMN($A35)+1,FALSE)</f>
        <v>0.81</v>
      </c>
      <c r="N35" t="str">
        <f>VLOOKUP("0"&amp;"_"&amp;$B$22&amp;"_"&amp;$A35,Лист2!$A$2:$Q$301,COLUMN()-COLUMN($A35)+1,FALSE)</f>
        <v>./DKS_math/Test/spch_dimkoef/ГПА-16 40-2,5 Южно-Русское.csv</v>
      </c>
      <c r="O35">
        <f>VLOOKUP("0"&amp;"_"&amp;$B$22&amp;"_"&amp;$A35,Лист2!$A$2:$Q$301,COLUMN()-COLUMN($A35)+1,FALSE)</f>
        <v>100</v>
      </c>
      <c r="P35">
        <f>VLOOKUP("0"&amp;"_"&amp;$B$22&amp;"_"&amp;$A35,Лист2!$A$2:$Q$301,COLUMN()-COLUMN($A35)+1,FALSE)</f>
        <v>420.87</v>
      </c>
      <c r="Q35">
        <f>VLOOKUP("0"&amp;"_"&amp;$B$22&amp;"_"&amp;$A35,Лист2!$A$2:$Q$301,COLUMN()-COLUMN($A35)+1,FALSE)</f>
        <v>3</v>
      </c>
    </row>
    <row r="36" spans="1:17" x14ac:dyDescent="0.25">
      <c r="A36">
        <f t="shared" si="12"/>
        <v>62</v>
      </c>
      <c r="B36">
        <f>VLOOKUP("0"&amp;"_"&amp;$B$22&amp;"_"&amp;$A36,Лист2!$A$2:$Q$301,COLUMN()-COLUMN($A36)+1,FALSE)</f>
        <v>0</v>
      </c>
      <c r="C36">
        <f>VLOOKUP("0"&amp;"_"&amp;$B$22&amp;"_"&amp;$A36,Лист2!$A$2:$Q$301,COLUMN()-COLUMN($A36)+1,FALSE)</f>
        <v>1.53</v>
      </c>
      <c r="D36">
        <f>VLOOKUP("0"&amp;"_"&amp;$B$22&amp;"_"&amp;$A36,Лист2!$A$2:$Q$301,COLUMN()-COLUMN($A36)+1,FALSE)</f>
        <v>4478</v>
      </c>
      <c r="E36">
        <f>VLOOKUP("0"&amp;"_"&amp;$B$22&amp;"_"&amp;$A36,Лист2!$A$2:$Q$301,COLUMN()-COLUMN($A36)+1,FALSE)</f>
        <v>0.84</v>
      </c>
      <c r="F36">
        <f>VLOOKUP("0"&amp;"_"&amp;$B$22&amp;"_"&amp;$A36,Лист2!$A$2:$Q$301,COLUMN()-COLUMN($A36)+1,FALSE)</f>
        <v>2.78</v>
      </c>
      <c r="G36">
        <f>VLOOKUP("0"&amp;"_"&amp;$B$22&amp;"_"&amp;$A36,Лист2!$A$2:$Q$301,COLUMN()-COLUMN($A36)+1,FALSE)</f>
        <v>2.78</v>
      </c>
      <c r="H36">
        <f>VLOOKUP("0"&amp;"_"&amp;$B$22&amp;"_"&amp;$A36,Лист2!$A$2:$Q$301,COLUMN()-COLUMN($A36)+1,FALSE)</f>
        <v>4.24</v>
      </c>
      <c r="I36">
        <f>VLOOKUP("0"&amp;"_"&amp;$B$22&amp;"_"&amp;$A36,Лист2!$A$2:$Q$301,COLUMN()-COLUMN($A36)+1,FALSE)</f>
        <v>4.24</v>
      </c>
      <c r="J36">
        <f>VLOOKUP("0"&amp;"_"&amp;$B$22&amp;"_"&amp;$A36,Лист2!$A$2:$Q$301,COLUMN()-COLUMN($A36)+1,FALSE)</f>
        <v>5</v>
      </c>
      <c r="K36">
        <f>VLOOKUP("0"&amp;"_"&amp;$B$22&amp;"_"&amp;$A36,Лист2!$A$2:$Q$301,COLUMN()-COLUMN($A36)+1,FALSE)</f>
        <v>16000</v>
      </c>
      <c r="L36">
        <f>VLOOKUP("0"&amp;"_"&amp;$B$22&amp;"_"&amp;$A36,Лист2!$A$2:$Q$301,COLUMN()-COLUMN($A36)+1,FALSE)</f>
        <v>62</v>
      </c>
      <c r="M36">
        <f>VLOOKUP("0"&amp;"_"&amp;$B$22&amp;"_"&amp;$A36,Лист2!$A$2:$Q$301,COLUMN()-COLUMN($A36)+1,FALSE)</f>
        <v>0.76</v>
      </c>
      <c r="N36" t="str">
        <f>VLOOKUP("0"&amp;"_"&amp;$B$22&amp;"_"&amp;$A36,Лист2!$A$2:$Q$301,COLUMN()-COLUMN($A36)+1,FALSE)</f>
        <v>./DKS_math/Test/spch_dimkoef/ГПА-16 40-2,5 Южно-Русское.csv</v>
      </c>
      <c r="O36">
        <f>VLOOKUP("0"&amp;"_"&amp;$B$22&amp;"_"&amp;$A36,Лист2!$A$2:$Q$301,COLUMN()-COLUMN($A36)+1,FALSE)</f>
        <v>100</v>
      </c>
      <c r="P36">
        <f>VLOOKUP("0"&amp;"_"&amp;$B$22&amp;"_"&amp;$A36,Лист2!$A$2:$Q$301,COLUMN()-COLUMN($A36)+1,FALSE)</f>
        <v>504.61</v>
      </c>
      <c r="Q36">
        <f>VLOOKUP("0"&amp;"_"&amp;$B$22&amp;"_"&amp;$A36,Лист2!$A$2:$Q$301,COLUMN()-COLUMN($A36)+1,FALSE)</f>
        <v>3</v>
      </c>
    </row>
    <row r="37" spans="1:17" x14ac:dyDescent="0.25">
      <c r="A37">
        <f t="shared" si="12"/>
        <v>66</v>
      </c>
      <c r="B37">
        <f>VLOOKUP("0"&amp;"_"&amp;$B$22&amp;"_"&amp;$A37,Лист2!$A$2:$Q$301,COLUMN()-COLUMN($A37)+1,FALSE)</f>
        <v>0</v>
      </c>
      <c r="C37">
        <f>VLOOKUP("0"&amp;"_"&amp;$B$22&amp;"_"&amp;$A37,Лист2!$A$2:$Q$301,COLUMN()-COLUMN($A37)+1,FALSE)</f>
        <v>1.47</v>
      </c>
      <c r="D37">
        <f>VLOOKUP("0"&amp;"_"&amp;$B$22&amp;"_"&amp;$A37,Лист2!$A$2:$Q$301,COLUMN()-COLUMN($A37)+1,FALSE)</f>
        <v>4222</v>
      </c>
      <c r="E37">
        <f>VLOOKUP("0"&amp;"_"&amp;$B$22&amp;"_"&amp;$A37,Лист2!$A$2:$Q$301,COLUMN()-COLUMN($A37)+1,FALSE)</f>
        <v>0.8</v>
      </c>
      <c r="F37">
        <f>VLOOKUP("0"&amp;"_"&amp;$B$22&amp;"_"&amp;$A37,Лист2!$A$2:$Q$301,COLUMN()-COLUMN($A37)+1,FALSE)</f>
        <v>3.11</v>
      </c>
      <c r="G37">
        <f>VLOOKUP("0"&amp;"_"&amp;$B$22&amp;"_"&amp;$A37,Лист2!$A$2:$Q$301,COLUMN()-COLUMN($A37)+1,FALSE)</f>
        <v>3.11</v>
      </c>
      <c r="H37">
        <f>VLOOKUP("0"&amp;"_"&amp;$B$22&amp;"_"&amp;$A37,Лист2!$A$2:$Q$301,COLUMN()-COLUMN($A37)+1,FALSE)</f>
        <v>4.5599999999999996</v>
      </c>
      <c r="I37">
        <f>VLOOKUP("0"&amp;"_"&amp;$B$22&amp;"_"&amp;$A37,Лист2!$A$2:$Q$301,COLUMN()-COLUMN($A37)+1,FALSE)</f>
        <v>4.5599999999999996</v>
      </c>
      <c r="J37">
        <f>VLOOKUP("0"&amp;"_"&amp;$B$22&amp;"_"&amp;$A37,Лист2!$A$2:$Q$301,COLUMN()-COLUMN($A37)+1,FALSE)</f>
        <v>5</v>
      </c>
      <c r="K37">
        <f>VLOOKUP("0"&amp;"_"&amp;$B$22&amp;"_"&amp;$A37,Лист2!$A$2:$Q$301,COLUMN()-COLUMN($A37)+1,FALSE)</f>
        <v>15140.99</v>
      </c>
      <c r="L37">
        <f>VLOOKUP("0"&amp;"_"&amp;$B$22&amp;"_"&amp;$A37,Лист2!$A$2:$Q$301,COLUMN()-COLUMN($A37)+1,FALSE)</f>
        <v>66</v>
      </c>
      <c r="M37">
        <f>VLOOKUP("0"&amp;"_"&amp;$B$22&amp;"_"&amp;$A37,Лист2!$A$2:$Q$301,COLUMN()-COLUMN($A37)+1,FALSE)</f>
        <v>0.44</v>
      </c>
      <c r="N37" t="str">
        <f>VLOOKUP("0"&amp;"_"&amp;$B$22&amp;"_"&amp;$A37,Лист2!$A$2:$Q$301,COLUMN()-COLUMN($A37)+1,FALSE)</f>
        <v>./DKS_math/Test/spch_dimkoef/ГПА-16 40-2,5 Южно-Русское.csv</v>
      </c>
      <c r="O37">
        <f>VLOOKUP("0"&amp;"_"&amp;$B$22&amp;"_"&amp;$A37,Лист2!$A$2:$Q$301,COLUMN()-COLUMN($A37)+1,FALSE)</f>
        <v>100</v>
      </c>
      <c r="P37">
        <f>VLOOKUP("0"&amp;"_"&amp;$B$22&amp;"_"&amp;$A37,Лист2!$A$2:$Q$301,COLUMN()-COLUMN($A37)+1,FALSE)</f>
        <v>475.77</v>
      </c>
      <c r="Q37">
        <f>VLOOKUP("0"&amp;"_"&amp;$B$22&amp;"_"&amp;$A37,Лист2!$A$2:$Q$301,COLUMN()-COLUMN($A37)+1,FALSE)</f>
        <v>3</v>
      </c>
    </row>
    <row r="41" spans="1:17" x14ac:dyDescent="0.25">
      <c r="B41">
        <f>B22</f>
        <v>5</v>
      </c>
    </row>
    <row r="42" spans="1:17" x14ac:dyDescent="0.25">
      <c r="A42">
        <f>A23</f>
        <v>10</v>
      </c>
      <c r="B42">
        <f>VLOOKUP("1"&amp;"_"&amp;$B$22&amp;"_"&amp;$A23,Лист2!$A$2:$Q$301,COLUMN()-COLUMN($A23)+1,FALSE)</f>
        <v>1</v>
      </c>
      <c r="C42">
        <f>VLOOKUP("1"&amp;"_"&amp;$B$22&amp;"_"&amp;$A23,Лист2!$A$2:$Q$301,COLUMN()-COLUMN($A23)+1,FALSE)</f>
        <v>2.19</v>
      </c>
      <c r="D42">
        <f>VLOOKUP("1"&amp;"_"&amp;$B$22&amp;"_"&amp;$A23,Лист2!$A$2:$Q$301,COLUMN()-COLUMN($A23)+1,FALSE)</f>
        <v>5565</v>
      </c>
      <c r="E42">
        <f>VLOOKUP("1"&amp;"_"&amp;$B$22&amp;"_"&amp;$A23,Лист2!$A$2:$Q$301,COLUMN()-COLUMN($A23)+1,FALSE)</f>
        <v>1.05</v>
      </c>
      <c r="F42">
        <f>VLOOKUP("1"&amp;"_"&amp;$B$22&amp;"_"&amp;$A23,Лист2!$A$2:$Q$301,COLUMN()-COLUMN($A23)+1,FALSE)</f>
        <v>2.29</v>
      </c>
      <c r="G42">
        <f>VLOOKUP("1"&amp;"_"&amp;$B$22&amp;"_"&amp;$A23,Лист2!$A$2:$Q$301,COLUMN()-COLUMN($A23)+1,FALSE)</f>
        <v>2.29</v>
      </c>
      <c r="H42">
        <f>VLOOKUP("1"&amp;"_"&amp;$B$22&amp;"_"&amp;$A23,Лист2!$A$2:$Q$301,COLUMN()-COLUMN($A23)+1,FALSE)</f>
        <v>5</v>
      </c>
      <c r="I42">
        <f>VLOOKUP("1"&amp;"_"&amp;$B$22&amp;"_"&amp;$A23,Лист2!$A$2:$Q$301,COLUMN()-COLUMN($A23)+1,FALSE)</f>
        <v>5</v>
      </c>
      <c r="J42">
        <f>VLOOKUP("1"&amp;"_"&amp;$B$22&amp;"_"&amp;$A23,Лист2!$A$2:$Q$301,COLUMN()-COLUMN($A23)+1,FALSE)</f>
        <v>5</v>
      </c>
      <c r="K42">
        <f>VLOOKUP("1"&amp;"_"&amp;$B$22&amp;"_"&amp;$A23,Лист2!$A$2:$Q$301,COLUMN()-COLUMN($A23)+1,FALSE)</f>
        <v>13651.89</v>
      </c>
      <c r="L42">
        <f>VLOOKUP("1"&amp;"_"&amp;$B$22&amp;"_"&amp;$A23,Лист2!$A$2:$Q$301,COLUMN()-COLUMN($A23)+1,FALSE)</f>
        <v>10</v>
      </c>
      <c r="M42">
        <f>VLOOKUP("1"&amp;"_"&amp;$B$22&amp;"_"&amp;$A23,Лист2!$A$2:$Q$301,COLUMN()-COLUMN($A23)+1,FALSE)</f>
        <v>0</v>
      </c>
      <c r="N42" t="str">
        <f>VLOOKUP("1"&amp;"_"&amp;$B$22&amp;"_"&amp;$A23,Лист2!$A$2:$Q$301,COLUMN()-COLUMN($A23)+1,FALSE)</f>
        <v>./DKS_math/Test/spch_dimkoef/ГПА-16 76-2,2 (01) ЮжРус(новая).csv</v>
      </c>
      <c r="O42">
        <f>VLOOKUP("1"&amp;"_"&amp;$B$22&amp;"_"&amp;$A23,Лист2!$A$2:$Q$301,COLUMN()-COLUMN($A23)+1,FALSE)</f>
        <v>56.25</v>
      </c>
      <c r="P42">
        <f>VLOOKUP("1"&amp;"_"&amp;$B$22&amp;"_"&amp;$A23,Лист2!$A$2:$Q$301,COLUMN()-COLUMN($A23)+1,FALSE)</f>
        <v>299.32</v>
      </c>
      <c r="Q42">
        <f>VLOOKUP("1"&amp;"_"&amp;$B$22&amp;"_"&amp;$A23,Лист2!$A$2:$Q$301,COLUMN()-COLUMN($A23)+1,FALSE)</f>
        <v>1</v>
      </c>
    </row>
    <row r="43" spans="1:17" x14ac:dyDescent="0.25">
      <c r="A43">
        <f t="shared" ref="A43:A56" si="13">A24</f>
        <v>14</v>
      </c>
      <c r="B43">
        <f>VLOOKUP("1"&amp;"_"&amp;$B$22&amp;"_"&amp;$A24,Лист2!$A$2:$Q$301,COLUMN()-COLUMN($A24)+1,FALSE)</f>
        <v>1</v>
      </c>
      <c r="C43">
        <f>VLOOKUP("1"&amp;"_"&amp;$B$22&amp;"_"&amp;$A24,Лист2!$A$2:$Q$301,COLUMN()-COLUMN($A24)+1,FALSE)</f>
        <v>1.88</v>
      </c>
      <c r="D43">
        <f>VLOOKUP("1"&amp;"_"&amp;$B$22&amp;"_"&amp;$A24,Лист2!$A$2:$Q$301,COLUMN()-COLUMN($A24)+1,FALSE)</f>
        <v>5419</v>
      </c>
      <c r="E43">
        <f>VLOOKUP("1"&amp;"_"&amp;$B$22&amp;"_"&amp;$A24,Лист2!$A$2:$Q$301,COLUMN()-COLUMN($A24)+1,FALSE)</f>
        <v>1.02</v>
      </c>
      <c r="F43">
        <f>VLOOKUP("1"&amp;"_"&amp;$B$22&amp;"_"&amp;$A24,Лист2!$A$2:$Q$301,COLUMN()-COLUMN($A24)+1,FALSE)</f>
        <v>2.8</v>
      </c>
      <c r="G43">
        <f>VLOOKUP("1"&amp;"_"&amp;$B$22&amp;"_"&amp;$A24,Лист2!$A$2:$Q$301,COLUMN()-COLUMN($A24)+1,FALSE)</f>
        <v>2.8</v>
      </c>
      <c r="H43">
        <f>VLOOKUP("1"&amp;"_"&amp;$B$22&amp;"_"&amp;$A24,Лист2!$A$2:$Q$301,COLUMN()-COLUMN($A24)+1,FALSE)</f>
        <v>5.26</v>
      </c>
      <c r="I43">
        <f>VLOOKUP("1"&amp;"_"&amp;$B$22&amp;"_"&amp;$A24,Лист2!$A$2:$Q$301,COLUMN()-COLUMN($A24)+1,FALSE)</f>
        <v>5.26</v>
      </c>
      <c r="J43">
        <f>VLOOKUP("1"&amp;"_"&amp;$B$22&amp;"_"&amp;$A24,Лист2!$A$2:$Q$301,COLUMN()-COLUMN($A24)+1,FALSE)</f>
        <v>5</v>
      </c>
      <c r="K43">
        <f>VLOOKUP("1"&amp;"_"&amp;$B$22&amp;"_"&amp;$A24,Лист2!$A$2:$Q$301,COLUMN()-COLUMN($A24)+1,FALSE)</f>
        <v>15999.3</v>
      </c>
      <c r="L43">
        <f>VLOOKUP("1"&amp;"_"&amp;$B$22&amp;"_"&amp;$A24,Лист2!$A$2:$Q$301,COLUMN()-COLUMN($A24)+1,FALSE)</f>
        <v>14</v>
      </c>
      <c r="M43">
        <f>VLOOKUP("1"&amp;"_"&amp;$B$22&amp;"_"&amp;$A24,Лист2!$A$2:$Q$301,COLUMN()-COLUMN($A24)+1,FALSE)</f>
        <v>0.26</v>
      </c>
      <c r="N43" t="str">
        <f>VLOOKUP("1"&amp;"_"&amp;$B$22&amp;"_"&amp;$A24,Лист2!$A$2:$Q$301,COLUMN()-COLUMN($A24)+1,FALSE)</f>
        <v>./DKS_math/Test/spch_dimkoef/ГПА-16 76-2,2 (01) ЮжРус(новая).csv</v>
      </c>
      <c r="O43">
        <f>VLOOKUP("1"&amp;"_"&amp;$B$22&amp;"_"&amp;$A24,Лист2!$A$2:$Q$301,COLUMN()-COLUMN($A24)+1,FALSE)</f>
        <v>75.98</v>
      </c>
      <c r="P43">
        <f>VLOOKUP("1"&amp;"_"&amp;$B$22&amp;"_"&amp;$A24,Лист2!$A$2:$Q$301,COLUMN()-COLUMN($A24)+1,FALSE)</f>
        <v>338.08</v>
      </c>
      <c r="Q43">
        <f>VLOOKUP("1"&amp;"_"&amp;$B$22&amp;"_"&amp;$A24,Лист2!$A$2:$Q$301,COLUMN()-COLUMN($A24)+1,FALSE)</f>
        <v>1</v>
      </c>
    </row>
    <row r="44" spans="1:17" x14ac:dyDescent="0.25">
      <c r="A44">
        <f t="shared" si="13"/>
        <v>18</v>
      </c>
      <c r="B44">
        <f>VLOOKUP("1"&amp;"_"&amp;$B$22&amp;"_"&amp;$A25,Лист2!$A$2:$Q$301,COLUMN()-COLUMN($A25)+1,FALSE)</f>
        <v>1</v>
      </c>
      <c r="C44">
        <f>VLOOKUP("1"&amp;"_"&amp;$B$22&amp;"_"&amp;$A25,Лист2!$A$2:$Q$301,COLUMN()-COLUMN($A25)+1,FALSE)</f>
        <v>1.61</v>
      </c>
      <c r="D44">
        <f>VLOOKUP("1"&amp;"_"&amp;$B$22&amp;"_"&amp;$A25,Лист2!$A$2:$Q$301,COLUMN()-COLUMN($A25)+1,FALSE)</f>
        <v>4940</v>
      </c>
      <c r="E44">
        <f>VLOOKUP("1"&amp;"_"&amp;$B$22&amp;"_"&amp;$A25,Лист2!$A$2:$Q$301,COLUMN()-COLUMN($A25)+1,FALSE)</f>
        <v>0.93</v>
      </c>
      <c r="F44">
        <f>VLOOKUP("1"&amp;"_"&amp;$B$22&amp;"_"&amp;$A25,Лист2!$A$2:$Q$301,COLUMN()-COLUMN($A25)+1,FALSE)</f>
        <v>3.62</v>
      </c>
      <c r="G44">
        <f>VLOOKUP("1"&amp;"_"&amp;$B$22&amp;"_"&amp;$A25,Лист2!$A$2:$Q$301,COLUMN()-COLUMN($A25)+1,FALSE)</f>
        <v>3.62</v>
      </c>
      <c r="H44">
        <f>VLOOKUP("1"&amp;"_"&amp;$B$22&amp;"_"&amp;$A25,Лист2!$A$2:$Q$301,COLUMN()-COLUMN($A25)+1,FALSE)</f>
        <v>5.8</v>
      </c>
      <c r="I44">
        <f>VLOOKUP("1"&amp;"_"&amp;$B$22&amp;"_"&amp;$A25,Лист2!$A$2:$Q$301,COLUMN()-COLUMN($A25)+1,FALSE)</f>
        <v>5.8</v>
      </c>
      <c r="J44">
        <f>VLOOKUP("1"&amp;"_"&amp;$B$22&amp;"_"&amp;$A25,Лист2!$A$2:$Q$301,COLUMN()-COLUMN($A25)+1,FALSE)</f>
        <v>5</v>
      </c>
      <c r="K44">
        <f>VLOOKUP("1"&amp;"_"&amp;$B$22&amp;"_"&amp;$A25,Лист2!$A$2:$Q$301,COLUMN()-COLUMN($A25)+1,FALSE)</f>
        <v>15831.74</v>
      </c>
      <c r="L44">
        <f>VLOOKUP("1"&amp;"_"&amp;$B$22&amp;"_"&amp;$A25,Лист2!$A$2:$Q$301,COLUMN()-COLUMN($A25)+1,FALSE)</f>
        <v>18</v>
      </c>
      <c r="M44">
        <f>VLOOKUP("1"&amp;"_"&amp;$B$22&amp;"_"&amp;$A25,Лист2!$A$2:$Q$301,COLUMN()-COLUMN($A25)+1,FALSE)</f>
        <v>0.8</v>
      </c>
      <c r="N44" t="str">
        <f>VLOOKUP("1"&amp;"_"&amp;$B$22&amp;"_"&amp;$A25,Лист2!$A$2:$Q$301,COLUMN()-COLUMN($A25)+1,FALSE)</f>
        <v>./DKS_math/Test/spch_dimkoef/ГПА-16 76-2,2 (01) ЮжРус(новая).csv</v>
      </c>
      <c r="O44">
        <f>VLOOKUP("1"&amp;"_"&amp;$B$22&amp;"_"&amp;$A25,Лист2!$A$2:$Q$301,COLUMN()-COLUMN($A25)+1,FALSE)</f>
        <v>86.77</v>
      </c>
      <c r="P44">
        <f>VLOOKUP("1"&amp;"_"&amp;$B$22&amp;"_"&amp;$A25,Лист2!$A$2:$Q$301,COLUMN()-COLUMN($A25)+1,FALSE)</f>
        <v>331.43</v>
      </c>
      <c r="Q44">
        <f>VLOOKUP("1"&amp;"_"&amp;$B$22&amp;"_"&amp;$A25,Лист2!$A$2:$Q$301,COLUMN()-COLUMN($A25)+1,FALSE)</f>
        <v>1</v>
      </c>
    </row>
    <row r="45" spans="1:17" x14ac:dyDescent="0.25">
      <c r="A45">
        <f t="shared" si="13"/>
        <v>22</v>
      </c>
      <c r="B45">
        <f>VLOOKUP("1"&amp;"_"&amp;$B$22&amp;"_"&amp;$A26,Лист2!$A$2:$Q$301,COLUMN()-COLUMN($A26)+1,FALSE)</f>
        <v>1</v>
      </c>
      <c r="C45">
        <f>VLOOKUP("1"&amp;"_"&amp;$B$22&amp;"_"&amp;$A26,Лист2!$A$2:$Q$301,COLUMN()-COLUMN($A26)+1,FALSE)</f>
        <v>1.47</v>
      </c>
      <c r="D45">
        <f>VLOOKUP("1"&amp;"_"&amp;$B$22&amp;"_"&amp;$A26,Лист2!$A$2:$Q$301,COLUMN()-COLUMN($A26)+1,FALSE)</f>
        <v>4591</v>
      </c>
      <c r="E45">
        <f>VLOOKUP("1"&amp;"_"&amp;$B$22&amp;"_"&amp;$A26,Лист2!$A$2:$Q$301,COLUMN()-COLUMN($A26)+1,FALSE)</f>
        <v>0.87</v>
      </c>
      <c r="F45">
        <f>VLOOKUP("1"&amp;"_"&amp;$B$22&amp;"_"&amp;$A26,Лист2!$A$2:$Q$301,COLUMN()-COLUMN($A26)+1,FALSE)</f>
        <v>4.5</v>
      </c>
      <c r="G45">
        <f>VLOOKUP("1"&amp;"_"&amp;$B$22&amp;"_"&amp;$A26,Лист2!$A$2:$Q$301,COLUMN()-COLUMN($A26)+1,FALSE)</f>
        <v>4.5</v>
      </c>
      <c r="H45">
        <f>VLOOKUP("1"&amp;"_"&amp;$B$22&amp;"_"&amp;$A26,Лист2!$A$2:$Q$301,COLUMN()-COLUMN($A26)+1,FALSE)</f>
        <v>6.64</v>
      </c>
      <c r="I45">
        <f>VLOOKUP("1"&amp;"_"&amp;$B$22&amp;"_"&amp;$A26,Лист2!$A$2:$Q$301,COLUMN()-COLUMN($A26)+1,FALSE)</f>
        <v>6.64</v>
      </c>
      <c r="J45">
        <f>VLOOKUP("1"&amp;"_"&amp;$B$22&amp;"_"&amp;$A26,Лист2!$A$2:$Q$301,COLUMN()-COLUMN($A26)+1,FALSE)</f>
        <v>5</v>
      </c>
      <c r="K45">
        <f>VLOOKUP("1"&amp;"_"&amp;$B$22&amp;"_"&amp;$A26,Лист2!$A$2:$Q$301,COLUMN()-COLUMN($A26)+1,FALSE)</f>
        <v>16000</v>
      </c>
      <c r="L45">
        <f>VLOOKUP("1"&amp;"_"&amp;$B$22&amp;"_"&amp;$A26,Лист2!$A$2:$Q$301,COLUMN()-COLUMN($A26)+1,FALSE)</f>
        <v>22</v>
      </c>
      <c r="M45">
        <f>VLOOKUP("1"&amp;"_"&amp;$B$22&amp;"_"&amp;$A26,Лист2!$A$2:$Q$301,COLUMN()-COLUMN($A26)+1,FALSE)</f>
        <v>1.64</v>
      </c>
      <c r="N45" t="str">
        <f>VLOOKUP("1"&amp;"_"&amp;$B$22&amp;"_"&amp;$A26,Лист2!$A$2:$Q$301,COLUMN()-COLUMN($A26)+1,FALSE)</f>
        <v>./DKS_math/Test/spch_dimkoef/ГПА-16 76-2,2 (01) ЮжРус(новая).csv</v>
      </c>
      <c r="O45">
        <f>VLOOKUP("1"&amp;"_"&amp;$B$22&amp;"_"&amp;$A26,Лист2!$A$2:$Q$301,COLUMN()-COLUMN($A26)+1,FALSE)</f>
        <v>92.35</v>
      </c>
      <c r="P45">
        <f>VLOOKUP("1"&amp;"_"&amp;$B$22&amp;"_"&amp;$A26,Лист2!$A$2:$Q$301,COLUMN()-COLUMN($A26)+1,FALSE)</f>
        <v>319.2</v>
      </c>
      <c r="Q45">
        <f>VLOOKUP("1"&amp;"_"&amp;$B$22&amp;"_"&amp;$A26,Лист2!$A$2:$Q$301,COLUMN()-COLUMN($A26)+1,FALSE)</f>
        <v>1</v>
      </c>
    </row>
    <row r="46" spans="1:17" x14ac:dyDescent="0.25">
      <c r="A46">
        <f t="shared" si="13"/>
        <v>26</v>
      </c>
      <c r="B46">
        <f>VLOOKUP("1"&amp;"_"&amp;$B$22&amp;"_"&amp;$A27,Лист2!$A$2:$Q$301,COLUMN()-COLUMN($A27)+1,FALSE)</f>
        <v>1</v>
      </c>
      <c r="C46">
        <f>VLOOKUP("1"&amp;"_"&amp;$B$22&amp;"_"&amp;$A27,Лист2!$A$2:$Q$301,COLUMN()-COLUMN($A27)+1,FALSE)</f>
        <v>1.31</v>
      </c>
      <c r="D46">
        <f>VLOOKUP("1"&amp;"_"&amp;$B$22&amp;"_"&amp;$A27,Лист2!$A$2:$Q$301,COLUMN()-COLUMN($A27)+1,FALSE)</f>
        <v>3886</v>
      </c>
      <c r="E46">
        <f>VLOOKUP("1"&amp;"_"&amp;$B$22&amp;"_"&amp;$A27,Лист2!$A$2:$Q$301,COLUMN()-COLUMN($A27)+1,FALSE)</f>
        <v>0.73</v>
      </c>
      <c r="F46">
        <f>VLOOKUP("1"&amp;"_"&amp;$B$22&amp;"_"&amp;$A27,Лист2!$A$2:$Q$301,COLUMN()-COLUMN($A27)+1,FALSE)</f>
        <v>5.89</v>
      </c>
      <c r="G46">
        <f>VLOOKUP("1"&amp;"_"&amp;$B$22&amp;"_"&amp;$A27,Лист2!$A$2:$Q$301,COLUMN()-COLUMN($A27)+1,FALSE)</f>
        <v>5.89</v>
      </c>
      <c r="H46">
        <f>VLOOKUP("1"&amp;"_"&amp;$B$22&amp;"_"&amp;$A27,Лист2!$A$2:$Q$301,COLUMN()-COLUMN($A27)+1,FALSE)</f>
        <v>7.7</v>
      </c>
      <c r="I46">
        <f>VLOOKUP("1"&amp;"_"&amp;$B$22&amp;"_"&amp;$A27,Лист2!$A$2:$Q$301,COLUMN()-COLUMN($A27)+1,FALSE)</f>
        <v>7.7</v>
      </c>
      <c r="J46">
        <f>VLOOKUP("1"&amp;"_"&amp;$B$22&amp;"_"&amp;$A27,Лист2!$A$2:$Q$301,COLUMN()-COLUMN($A27)+1,FALSE)</f>
        <v>5</v>
      </c>
      <c r="K46">
        <f>VLOOKUP("1"&amp;"_"&amp;$B$22&amp;"_"&amp;$A27,Лист2!$A$2:$Q$301,COLUMN()-COLUMN($A27)+1,FALSE)</f>
        <v>12942.57</v>
      </c>
      <c r="L46">
        <f>VLOOKUP("1"&amp;"_"&amp;$B$22&amp;"_"&amp;$A27,Лист2!$A$2:$Q$301,COLUMN()-COLUMN($A27)+1,FALSE)</f>
        <v>26</v>
      </c>
      <c r="M46">
        <f>VLOOKUP("1"&amp;"_"&amp;$B$22&amp;"_"&amp;$A27,Лист2!$A$2:$Q$301,COLUMN()-COLUMN($A27)+1,FALSE)</f>
        <v>2.7</v>
      </c>
      <c r="N46" t="str">
        <f>VLOOKUP("1"&amp;"_"&amp;$B$22&amp;"_"&amp;$A27,Лист2!$A$2:$Q$301,COLUMN()-COLUMN($A27)+1,FALSE)</f>
        <v>./DKS_math/Test/spch_dimkoef/ГПА-16 76-2,2 (01) ЮжРус(новая).csv</v>
      </c>
      <c r="O46">
        <f>VLOOKUP("1"&amp;"_"&amp;$B$22&amp;"_"&amp;$A27,Лист2!$A$2:$Q$301,COLUMN()-COLUMN($A27)+1,FALSE)</f>
        <v>97.74</v>
      </c>
      <c r="P46">
        <f>VLOOKUP("1"&amp;"_"&amp;$B$22&amp;"_"&amp;$A27,Лист2!$A$2:$Q$301,COLUMN()-COLUMN($A27)+1,FALSE)</f>
        <v>279.32</v>
      </c>
      <c r="Q46">
        <f>VLOOKUP("1"&amp;"_"&amp;$B$22&amp;"_"&amp;$A27,Лист2!$A$2:$Q$301,COLUMN()-COLUMN($A27)+1,FALSE)</f>
        <v>1</v>
      </c>
    </row>
    <row r="47" spans="1:17" x14ac:dyDescent="0.25">
      <c r="A47">
        <f t="shared" si="13"/>
        <v>30</v>
      </c>
      <c r="B47">
        <f>VLOOKUP("1"&amp;"_"&amp;$B$22&amp;"_"&amp;$A28,Лист2!$A$2:$Q$301,COLUMN()-COLUMN($A28)+1,FALSE)</f>
        <v>1</v>
      </c>
      <c r="C47">
        <f>VLOOKUP("1"&amp;"_"&amp;$B$22&amp;"_"&amp;$A28,Лист2!$A$2:$Q$301,COLUMN()-COLUMN($A28)+1,FALSE)</f>
        <v>2.42</v>
      </c>
      <c r="D47">
        <f>VLOOKUP("1"&amp;"_"&amp;$B$22&amp;"_"&amp;$A28,Лист2!$A$2:$Q$301,COLUMN()-COLUMN($A28)+1,FALSE)</f>
        <v>5439</v>
      </c>
      <c r="E47">
        <f>VLOOKUP("1"&amp;"_"&amp;$B$22&amp;"_"&amp;$A28,Лист2!$A$2:$Q$301,COLUMN()-COLUMN($A28)+1,FALSE)</f>
        <v>1.03</v>
      </c>
      <c r="F47">
        <f>VLOOKUP("1"&amp;"_"&amp;$B$22&amp;"_"&amp;$A28,Лист2!$A$2:$Q$301,COLUMN()-COLUMN($A28)+1,FALSE)</f>
        <v>3.18</v>
      </c>
      <c r="G47">
        <f>VLOOKUP("1"&amp;"_"&amp;$B$22&amp;"_"&amp;$A28,Лист2!$A$2:$Q$301,COLUMN()-COLUMN($A28)+1,FALSE)</f>
        <v>3.18</v>
      </c>
      <c r="H47">
        <f>VLOOKUP("1"&amp;"_"&amp;$B$22&amp;"_"&amp;$A28,Лист2!$A$2:$Q$301,COLUMN()-COLUMN($A28)+1,FALSE)</f>
        <v>7.7</v>
      </c>
      <c r="I47">
        <f>VLOOKUP("1"&amp;"_"&amp;$B$22&amp;"_"&amp;$A28,Лист2!$A$2:$Q$301,COLUMN()-COLUMN($A28)+1,FALSE)</f>
        <v>7.7</v>
      </c>
      <c r="J47">
        <f>VLOOKUP("1"&amp;"_"&amp;$B$22&amp;"_"&amp;$A28,Лист2!$A$2:$Q$301,COLUMN()-COLUMN($A28)+1,FALSE)</f>
        <v>5</v>
      </c>
      <c r="K47">
        <f>VLOOKUP("1"&amp;"_"&amp;$B$22&amp;"_"&amp;$A28,Лист2!$A$2:$Q$301,COLUMN()-COLUMN($A28)+1,FALSE)</f>
        <v>15737.34</v>
      </c>
      <c r="L47">
        <f>VLOOKUP("1"&amp;"_"&amp;$B$22&amp;"_"&amp;$A28,Лист2!$A$2:$Q$301,COLUMN()-COLUMN($A28)+1,FALSE)</f>
        <v>30</v>
      </c>
      <c r="M47">
        <f>VLOOKUP("1"&amp;"_"&amp;$B$22&amp;"_"&amp;$A28,Лист2!$A$2:$Q$301,COLUMN()-COLUMN($A28)+1,FALSE)</f>
        <v>2.7</v>
      </c>
      <c r="N47" t="str">
        <f>VLOOKUP("1"&amp;"_"&amp;$B$22&amp;"_"&amp;$A28,Лист2!$A$2:$Q$301,COLUMN()-COLUMN($A28)+1,FALSE)</f>
        <v>./DKS_math/Test/spch_dimkoef/ГПА-16 76-2,2 (01) ЮжРус(новая).csv</v>
      </c>
      <c r="O47">
        <f>VLOOKUP("1"&amp;"_"&amp;$B$22&amp;"_"&amp;$A28,Лист2!$A$2:$Q$301,COLUMN()-COLUMN($A28)+1,FALSE)</f>
        <v>22.02</v>
      </c>
      <c r="P47">
        <f>VLOOKUP("1"&amp;"_"&amp;$B$22&amp;"_"&amp;$A28,Лист2!$A$2:$Q$301,COLUMN()-COLUMN($A28)+1,FALSE)</f>
        <v>211.35</v>
      </c>
      <c r="Q47">
        <f>VLOOKUP("1"&amp;"_"&amp;$B$22&amp;"_"&amp;$A28,Лист2!$A$2:$Q$301,COLUMN()-COLUMN($A28)+1,FALSE)</f>
        <v>3</v>
      </c>
    </row>
    <row r="48" spans="1:17" x14ac:dyDescent="0.25">
      <c r="A48">
        <f t="shared" si="13"/>
        <v>34</v>
      </c>
      <c r="B48">
        <f>VLOOKUP("1"&amp;"_"&amp;$B$22&amp;"_"&amp;$A29,Лист2!$A$2:$Q$301,COLUMN()-COLUMN($A29)+1,FALSE)</f>
        <v>1</v>
      </c>
      <c r="C48">
        <f>VLOOKUP("1"&amp;"_"&amp;$B$22&amp;"_"&amp;$A29,Лист2!$A$2:$Q$301,COLUMN()-COLUMN($A29)+1,FALSE)</f>
        <v>1.71</v>
      </c>
      <c r="D48">
        <f>VLOOKUP("1"&amp;"_"&amp;$B$22&amp;"_"&amp;$A29,Лист2!$A$2:$Q$301,COLUMN()-COLUMN($A29)+1,FALSE)</f>
        <v>4903</v>
      </c>
      <c r="E48">
        <f>VLOOKUP("1"&amp;"_"&amp;$B$22&amp;"_"&amp;$A29,Лист2!$A$2:$Q$301,COLUMN()-COLUMN($A29)+1,FALSE)</f>
        <v>0.93</v>
      </c>
      <c r="F48">
        <f>VLOOKUP("1"&amp;"_"&amp;$B$22&amp;"_"&amp;$A29,Лист2!$A$2:$Q$301,COLUMN()-COLUMN($A29)+1,FALSE)</f>
        <v>3.71</v>
      </c>
      <c r="G48">
        <f>VLOOKUP("1"&amp;"_"&amp;$B$22&amp;"_"&amp;$A29,Лист2!$A$2:$Q$301,COLUMN()-COLUMN($A29)+1,FALSE)</f>
        <v>3.71</v>
      </c>
      <c r="H48">
        <f>VLOOKUP("1"&amp;"_"&amp;$B$22&amp;"_"&amp;$A29,Лист2!$A$2:$Q$301,COLUMN()-COLUMN($A29)+1,FALSE)</f>
        <v>6.35</v>
      </c>
      <c r="I48">
        <f>VLOOKUP("1"&amp;"_"&amp;$B$22&amp;"_"&amp;$A29,Лист2!$A$2:$Q$301,COLUMN()-COLUMN($A29)+1,FALSE)</f>
        <v>6.35</v>
      </c>
      <c r="J48">
        <f>VLOOKUP("1"&amp;"_"&amp;$B$22&amp;"_"&amp;$A29,Лист2!$A$2:$Q$301,COLUMN()-COLUMN($A29)+1,FALSE)</f>
        <v>5</v>
      </c>
      <c r="K48">
        <f>VLOOKUP("1"&amp;"_"&amp;$B$22&amp;"_"&amp;$A29,Лист2!$A$2:$Q$301,COLUMN()-COLUMN($A29)+1,FALSE)</f>
        <v>16000</v>
      </c>
      <c r="L48">
        <f>VLOOKUP("1"&amp;"_"&amp;$B$22&amp;"_"&amp;$A29,Лист2!$A$2:$Q$301,COLUMN()-COLUMN($A29)+1,FALSE)</f>
        <v>34</v>
      </c>
      <c r="M48">
        <f>VLOOKUP("1"&amp;"_"&amp;$B$22&amp;"_"&amp;$A29,Лист2!$A$2:$Q$301,COLUMN()-COLUMN($A29)+1,FALSE)</f>
        <v>1.35</v>
      </c>
      <c r="N48" t="str">
        <f>VLOOKUP("1"&amp;"_"&amp;$B$22&amp;"_"&amp;$A29,Лист2!$A$2:$Q$301,COLUMN()-COLUMN($A29)+1,FALSE)</f>
        <v>./DKS_math/Test/spch_dimkoef/ГПА-16 76-2,2 (01) ЮжРус(новая).csv</v>
      </c>
      <c r="O48">
        <f>VLOOKUP("1"&amp;"_"&amp;$B$22&amp;"_"&amp;$A29,Лист2!$A$2:$Q$301,COLUMN()-COLUMN($A29)+1,FALSE)</f>
        <v>75.11</v>
      </c>
      <c r="P48">
        <f>VLOOKUP("1"&amp;"_"&amp;$B$22&amp;"_"&amp;$A29,Лист2!$A$2:$Q$301,COLUMN()-COLUMN($A29)+1,FALSE)</f>
        <v>304.05</v>
      </c>
      <c r="Q48">
        <f>VLOOKUP("1"&amp;"_"&amp;$B$22&amp;"_"&amp;$A29,Лист2!$A$2:$Q$301,COLUMN()-COLUMN($A29)+1,FALSE)</f>
        <v>2</v>
      </c>
    </row>
    <row r="49" spans="1:17" x14ac:dyDescent="0.25">
      <c r="A49">
        <f t="shared" si="13"/>
        <v>38</v>
      </c>
      <c r="B49">
        <f>VLOOKUP("1"&amp;"_"&amp;$B$22&amp;"_"&amp;$A30,Лист2!$A$2:$Q$301,COLUMN()-COLUMN($A30)+1,FALSE)</f>
        <v>1</v>
      </c>
      <c r="C49">
        <f>VLOOKUP("1"&amp;"_"&amp;$B$22&amp;"_"&amp;$A30,Лист2!$A$2:$Q$301,COLUMN()-COLUMN($A30)+1,FALSE)</f>
        <v>1.57</v>
      </c>
      <c r="D49">
        <f>VLOOKUP("1"&amp;"_"&amp;$B$22&amp;"_"&amp;$A30,Лист2!$A$2:$Q$301,COLUMN()-COLUMN($A30)+1,FALSE)</f>
        <v>4860</v>
      </c>
      <c r="E49">
        <f>VLOOKUP("1"&amp;"_"&amp;$B$22&amp;"_"&amp;$A30,Лист2!$A$2:$Q$301,COLUMN()-COLUMN($A30)+1,FALSE)</f>
        <v>0.92</v>
      </c>
      <c r="F49">
        <f>VLOOKUP("1"&amp;"_"&amp;$B$22&amp;"_"&amp;$A30,Лист2!$A$2:$Q$301,COLUMN()-COLUMN($A30)+1,FALSE)</f>
        <v>3.83</v>
      </c>
      <c r="G49">
        <f>VLOOKUP("1"&amp;"_"&amp;$B$22&amp;"_"&amp;$A30,Лист2!$A$2:$Q$301,COLUMN()-COLUMN($A30)+1,FALSE)</f>
        <v>3.83</v>
      </c>
      <c r="H49">
        <f>VLOOKUP("1"&amp;"_"&amp;$B$22&amp;"_"&amp;$A30,Лист2!$A$2:$Q$301,COLUMN()-COLUMN($A30)+1,FALSE)</f>
        <v>6.01</v>
      </c>
      <c r="I49">
        <f>VLOOKUP("1"&amp;"_"&amp;$B$22&amp;"_"&amp;$A30,Лист2!$A$2:$Q$301,COLUMN()-COLUMN($A30)+1,FALSE)</f>
        <v>6.01</v>
      </c>
      <c r="J49">
        <f>VLOOKUP("1"&amp;"_"&amp;$B$22&amp;"_"&amp;$A30,Лист2!$A$2:$Q$301,COLUMN()-COLUMN($A30)+1,FALSE)</f>
        <v>5</v>
      </c>
      <c r="K49">
        <f>VLOOKUP("1"&amp;"_"&amp;$B$22&amp;"_"&amp;$A30,Лист2!$A$2:$Q$301,COLUMN()-COLUMN($A30)+1,FALSE)</f>
        <v>16000</v>
      </c>
      <c r="L49">
        <f>VLOOKUP("1"&amp;"_"&amp;$B$22&amp;"_"&amp;$A30,Лист2!$A$2:$Q$301,COLUMN()-COLUMN($A30)+1,FALSE)</f>
        <v>38</v>
      </c>
      <c r="M49">
        <f>VLOOKUP("1"&amp;"_"&amp;$B$22&amp;"_"&amp;$A30,Лист2!$A$2:$Q$301,COLUMN()-COLUMN($A30)+1,FALSE)</f>
        <v>1.01</v>
      </c>
      <c r="N49" t="str">
        <f>VLOOKUP("1"&amp;"_"&amp;$B$22&amp;"_"&amp;$A30,Лист2!$A$2:$Q$301,COLUMN()-COLUMN($A30)+1,FALSE)</f>
        <v>./DKS_math/Test/spch_dimkoef/ГПА-16 76-2,2 (01) ЮжРус(новая).csv</v>
      </c>
      <c r="O49">
        <f>VLOOKUP("1"&amp;"_"&amp;$B$22&amp;"_"&amp;$A30,Лист2!$A$2:$Q$301,COLUMN()-COLUMN($A30)+1,FALSE)</f>
        <v>88.22</v>
      </c>
      <c r="P49">
        <f>VLOOKUP("1"&amp;"_"&amp;$B$22&amp;"_"&amp;$A30,Лист2!$A$2:$Q$301,COLUMN()-COLUMN($A30)+1,FALSE)</f>
        <v>329.16</v>
      </c>
      <c r="Q49">
        <f>VLOOKUP("1"&amp;"_"&amp;$B$22&amp;"_"&amp;$A30,Лист2!$A$2:$Q$301,COLUMN()-COLUMN($A30)+1,FALSE)</f>
        <v>2</v>
      </c>
    </row>
    <row r="50" spans="1:17" x14ac:dyDescent="0.25">
      <c r="A50">
        <f t="shared" si="13"/>
        <v>42</v>
      </c>
      <c r="B50">
        <f>VLOOKUP("1"&amp;"_"&amp;$B$22&amp;"_"&amp;$A31,Лист2!$A$2:$Q$301,COLUMN()-COLUMN($A31)+1,FALSE)</f>
        <v>1</v>
      </c>
      <c r="C50">
        <f>VLOOKUP("1"&amp;"_"&amp;$B$22&amp;"_"&amp;$A31,Лист2!$A$2:$Q$301,COLUMN()-COLUMN($A31)+1,FALSE)</f>
        <v>1.32</v>
      </c>
      <c r="D50">
        <f>VLOOKUP("1"&amp;"_"&amp;$B$22&amp;"_"&amp;$A31,Лист2!$A$2:$Q$301,COLUMN()-COLUMN($A31)+1,FALSE)</f>
        <v>4096</v>
      </c>
      <c r="E50">
        <f>VLOOKUP("1"&amp;"_"&amp;$B$22&amp;"_"&amp;$A31,Лист2!$A$2:$Q$301,COLUMN()-COLUMN($A31)+1,FALSE)</f>
        <v>0.77</v>
      </c>
      <c r="F50">
        <f>VLOOKUP("1"&amp;"_"&amp;$B$22&amp;"_"&amp;$A31,Лист2!$A$2:$Q$301,COLUMN()-COLUMN($A31)+1,FALSE)</f>
        <v>4.59</v>
      </c>
      <c r="G50">
        <f>VLOOKUP("1"&amp;"_"&amp;$B$22&amp;"_"&amp;$A31,Лист2!$A$2:$Q$301,COLUMN()-COLUMN($A31)+1,FALSE)</f>
        <v>4.59</v>
      </c>
      <c r="H50">
        <f>VLOOKUP("1"&amp;"_"&amp;$B$22&amp;"_"&amp;$A31,Лист2!$A$2:$Q$301,COLUMN()-COLUMN($A31)+1,FALSE)</f>
        <v>6.07</v>
      </c>
      <c r="I50">
        <f>VLOOKUP("1"&amp;"_"&amp;$B$22&amp;"_"&amp;$A31,Лист2!$A$2:$Q$301,COLUMN()-COLUMN($A31)+1,FALSE)</f>
        <v>6.07</v>
      </c>
      <c r="J50">
        <f>VLOOKUP("1"&amp;"_"&amp;$B$22&amp;"_"&amp;$A31,Лист2!$A$2:$Q$301,COLUMN()-COLUMN($A31)+1,FALSE)</f>
        <v>5</v>
      </c>
      <c r="K50">
        <f>VLOOKUP("1"&amp;"_"&amp;$B$22&amp;"_"&amp;$A31,Лист2!$A$2:$Q$301,COLUMN()-COLUMN($A31)+1,FALSE)</f>
        <v>11376.78</v>
      </c>
      <c r="L50">
        <f>VLOOKUP("1"&amp;"_"&amp;$B$22&amp;"_"&amp;$A31,Лист2!$A$2:$Q$301,COLUMN()-COLUMN($A31)+1,FALSE)</f>
        <v>42</v>
      </c>
      <c r="M50">
        <f>VLOOKUP("1"&amp;"_"&amp;$B$22&amp;"_"&amp;$A31,Лист2!$A$2:$Q$301,COLUMN()-COLUMN($A31)+1,FALSE)</f>
        <v>1.07</v>
      </c>
      <c r="N50" t="str">
        <f>VLOOKUP("1"&amp;"_"&amp;$B$22&amp;"_"&amp;$A31,Лист2!$A$2:$Q$301,COLUMN()-COLUMN($A31)+1,FALSE)</f>
        <v>./DKS_math/Test/spch_dimkoef/ГПА-16 76-2,2 (01) ЮжРус(новая).csv</v>
      </c>
      <c r="O50">
        <f>VLOOKUP("1"&amp;"_"&amp;$B$22&amp;"_"&amp;$A31,Лист2!$A$2:$Q$301,COLUMN()-COLUMN($A31)+1,FALSE)</f>
        <v>100</v>
      </c>
      <c r="P50">
        <f>VLOOKUP("1"&amp;"_"&amp;$B$22&amp;"_"&amp;$A31,Лист2!$A$2:$Q$301,COLUMN()-COLUMN($A31)+1,FALSE)</f>
        <v>298.39999999999998</v>
      </c>
      <c r="Q50">
        <f>VLOOKUP("1"&amp;"_"&amp;$B$22&amp;"_"&amp;$A31,Лист2!$A$2:$Q$301,COLUMN()-COLUMN($A31)+1,FALSE)</f>
        <v>2</v>
      </c>
    </row>
    <row r="51" spans="1:17" x14ac:dyDescent="0.25">
      <c r="A51">
        <f t="shared" si="13"/>
        <v>46</v>
      </c>
      <c r="B51">
        <f>VLOOKUP("1"&amp;"_"&amp;$B$22&amp;"_"&amp;$A32,Лист2!$A$2:$Q$301,COLUMN()-COLUMN($A32)+1,FALSE)</f>
        <v>1</v>
      </c>
      <c r="C51">
        <f>VLOOKUP("1"&amp;"_"&amp;$B$22&amp;"_"&amp;$A32,Лист2!$A$2:$Q$301,COLUMN()-COLUMN($A32)+1,FALSE)</f>
        <v>1.33</v>
      </c>
      <c r="D51">
        <f>VLOOKUP("1"&amp;"_"&amp;$B$22&amp;"_"&amp;$A32,Лист2!$A$2:$Q$301,COLUMN()-COLUMN($A32)+1,FALSE)</f>
        <v>3309</v>
      </c>
      <c r="E51">
        <f>VLOOKUP("1"&amp;"_"&amp;$B$22&amp;"_"&amp;$A32,Лист2!$A$2:$Q$301,COLUMN()-COLUMN($A32)+1,FALSE)</f>
        <v>0.62</v>
      </c>
      <c r="F51">
        <f>VLOOKUP("1"&amp;"_"&amp;$B$22&amp;"_"&amp;$A32,Лист2!$A$2:$Q$301,COLUMN()-COLUMN($A32)+1,FALSE)</f>
        <v>5.16</v>
      </c>
      <c r="G51">
        <f>VLOOKUP("1"&amp;"_"&amp;$B$22&amp;"_"&amp;$A32,Лист2!$A$2:$Q$301,COLUMN()-COLUMN($A32)+1,FALSE)</f>
        <v>5.16</v>
      </c>
      <c r="H51">
        <f>VLOOKUP("1"&amp;"_"&amp;$B$22&amp;"_"&amp;$A32,Лист2!$A$2:$Q$301,COLUMN()-COLUMN($A32)+1,FALSE)</f>
        <v>6.88</v>
      </c>
      <c r="I51">
        <f>VLOOKUP("1"&amp;"_"&amp;$B$22&amp;"_"&amp;$A32,Лист2!$A$2:$Q$301,COLUMN()-COLUMN($A32)+1,FALSE)</f>
        <v>6.88</v>
      </c>
      <c r="J51">
        <f>VLOOKUP("1"&amp;"_"&amp;$B$22&amp;"_"&amp;$A32,Лист2!$A$2:$Q$301,COLUMN()-COLUMN($A32)+1,FALSE)</f>
        <v>5</v>
      </c>
      <c r="K51">
        <f>VLOOKUP("1"&amp;"_"&amp;$B$22&amp;"_"&amp;$A32,Лист2!$A$2:$Q$301,COLUMN()-COLUMN($A32)+1,FALSE)</f>
        <v>7000</v>
      </c>
      <c r="L51">
        <f>VLOOKUP("1"&amp;"_"&amp;$B$22&amp;"_"&amp;$A32,Лист2!$A$2:$Q$301,COLUMN()-COLUMN($A32)+1,FALSE)</f>
        <v>46</v>
      </c>
      <c r="M51">
        <f>VLOOKUP("1"&amp;"_"&amp;$B$22&amp;"_"&amp;$A32,Лист2!$A$2:$Q$301,COLUMN()-COLUMN($A32)+1,FALSE)</f>
        <v>1.88</v>
      </c>
      <c r="N51" t="str">
        <f>VLOOKUP("1"&amp;"_"&amp;$B$22&amp;"_"&amp;$A32,Лист2!$A$2:$Q$301,COLUMN()-COLUMN($A32)+1,FALSE)</f>
        <v>./DKS_math/Test/spch_dimkoef/ГПА-16 76-2,2 (01) ЮжРус(новая).csv</v>
      </c>
      <c r="O51">
        <f>VLOOKUP("1"&amp;"_"&amp;$B$22&amp;"_"&amp;$A32,Лист2!$A$2:$Q$301,COLUMN()-COLUMN($A32)+1,FALSE)</f>
        <v>65.36</v>
      </c>
      <c r="P51">
        <f>VLOOKUP("1"&amp;"_"&amp;$B$22&amp;"_"&amp;$A32,Лист2!$A$2:$Q$301,COLUMN()-COLUMN($A32)+1,FALSE)</f>
        <v>191.12</v>
      </c>
      <c r="Q51">
        <f>VLOOKUP("1"&amp;"_"&amp;$B$22&amp;"_"&amp;$A32,Лист2!$A$2:$Q$301,COLUMN()-COLUMN($A32)+1,FALSE)</f>
        <v>3</v>
      </c>
    </row>
    <row r="52" spans="1:17" x14ac:dyDescent="0.25">
      <c r="A52">
        <f t="shared" si="13"/>
        <v>50</v>
      </c>
      <c r="B52">
        <f>VLOOKUP("1"&amp;"_"&amp;$B$22&amp;"_"&amp;$A33,Лист2!$A$2:$Q$301,COLUMN()-COLUMN($A33)+1,FALSE)</f>
        <v>1</v>
      </c>
      <c r="C52">
        <f>VLOOKUP("1"&amp;"_"&amp;$B$22&amp;"_"&amp;$A33,Лист2!$A$2:$Q$301,COLUMN()-COLUMN($A33)+1,FALSE)</f>
        <v>1.36</v>
      </c>
      <c r="D52">
        <f>VLOOKUP("1"&amp;"_"&amp;$B$22&amp;"_"&amp;$A33,Лист2!$A$2:$Q$301,COLUMN()-COLUMN($A33)+1,FALSE)</f>
        <v>4297</v>
      </c>
      <c r="E52">
        <f>VLOOKUP("1"&amp;"_"&amp;$B$22&amp;"_"&amp;$A33,Лист2!$A$2:$Q$301,COLUMN()-COLUMN($A33)+1,FALSE)</f>
        <v>0.81</v>
      </c>
      <c r="F52">
        <f>VLOOKUP("1"&amp;"_"&amp;$B$22&amp;"_"&amp;$A33,Лист2!$A$2:$Q$301,COLUMN()-COLUMN($A33)+1,FALSE)</f>
        <v>5.14</v>
      </c>
      <c r="G52">
        <f>VLOOKUP("1"&amp;"_"&amp;$B$22&amp;"_"&amp;$A33,Лист2!$A$2:$Q$301,COLUMN()-COLUMN($A33)+1,FALSE)</f>
        <v>5.14</v>
      </c>
      <c r="H52">
        <f>VLOOKUP("1"&amp;"_"&amp;$B$22&amp;"_"&amp;$A33,Лист2!$A$2:$Q$301,COLUMN()-COLUMN($A33)+1,FALSE)</f>
        <v>7.01</v>
      </c>
      <c r="I52">
        <f>VLOOKUP("1"&amp;"_"&amp;$B$22&amp;"_"&amp;$A33,Лист2!$A$2:$Q$301,COLUMN()-COLUMN($A33)+1,FALSE)</f>
        <v>7.01</v>
      </c>
      <c r="J52">
        <f>VLOOKUP("1"&amp;"_"&amp;$B$22&amp;"_"&amp;$A33,Лист2!$A$2:$Q$301,COLUMN()-COLUMN($A33)+1,FALSE)</f>
        <v>5</v>
      </c>
      <c r="K52">
        <f>VLOOKUP("1"&amp;"_"&amp;$B$22&amp;"_"&amp;$A33,Лист2!$A$2:$Q$301,COLUMN()-COLUMN($A33)+1,FALSE)</f>
        <v>14913.28</v>
      </c>
      <c r="L52">
        <f>VLOOKUP("1"&amp;"_"&amp;$B$22&amp;"_"&amp;$A33,Лист2!$A$2:$Q$301,COLUMN()-COLUMN($A33)+1,FALSE)</f>
        <v>50</v>
      </c>
      <c r="M52">
        <f>VLOOKUP("1"&amp;"_"&amp;$B$22&amp;"_"&amp;$A33,Лист2!$A$2:$Q$301,COLUMN()-COLUMN($A33)+1,FALSE)</f>
        <v>2.0099999999999998</v>
      </c>
      <c r="N52" t="str">
        <f>VLOOKUP("1"&amp;"_"&amp;$B$22&amp;"_"&amp;$A33,Лист2!$A$2:$Q$301,COLUMN()-COLUMN($A33)+1,FALSE)</f>
        <v>./DKS_math/Test/spch_dimkoef/ГПА-16 76-2,2 (01) ЮжРус(новая).csv</v>
      </c>
      <c r="O52">
        <f>VLOOKUP("1"&amp;"_"&amp;$B$22&amp;"_"&amp;$A33,Лист2!$A$2:$Q$301,COLUMN()-COLUMN($A33)+1,FALSE)</f>
        <v>99.99</v>
      </c>
      <c r="P52">
        <f>VLOOKUP("1"&amp;"_"&amp;$B$22&amp;"_"&amp;$A33,Лист2!$A$2:$Q$301,COLUMN()-COLUMN($A33)+1,FALSE)</f>
        <v>313.08</v>
      </c>
      <c r="Q52">
        <f>VLOOKUP("1"&amp;"_"&amp;$B$22&amp;"_"&amp;$A33,Лист2!$A$2:$Q$301,COLUMN()-COLUMN($A33)+1,FALSE)</f>
        <v>2</v>
      </c>
    </row>
    <row r="53" spans="1:17" x14ac:dyDescent="0.25">
      <c r="A53">
        <f t="shared" si="13"/>
        <v>54</v>
      </c>
      <c r="B53">
        <f>VLOOKUP("1"&amp;"_"&amp;$B$22&amp;"_"&amp;$A34,Лист2!$A$2:$Q$301,COLUMN()-COLUMN($A34)+1,FALSE)</f>
        <v>1</v>
      </c>
      <c r="C53">
        <f>VLOOKUP("1"&amp;"_"&amp;$B$22&amp;"_"&amp;$A34,Лист2!$A$2:$Q$301,COLUMN()-COLUMN($A34)+1,FALSE)</f>
        <v>1.36</v>
      </c>
      <c r="D53">
        <f>VLOOKUP("1"&amp;"_"&amp;$B$22&amp;"_"&amp;$A34,Лист2!$A$2:$Q$301,COLUMN()-COLUMN($A34)+1,FALSE)</f>
        <v>4283</v>
      </c>
      <c r="E53">
        <f>VLOOKUP("1"&amp;"_"&amp;$B$22&amp;"_"&amp;$A34,Лист2!$A$2:$Q$301,COLUMN()-COLUMN($A34)+1,FALSE)</f>
        <v>0.81</v>
      </c>
      <c r="F53">
        <f>VLOOKUP("1"&amp;"_"&amp;$B$22&amp;"_"&amp;$A34,Лист2!$A$2:$Q$301,COLUMN()-COLUMN($A34)+1,FALSE)</f>
        <v>5.52</v>
      </c>
      <c r="G53">
        <f>VLOOKUP("1"&amp;"_"&amp;$B$22&amp;"_"&amp;$A34,Лист2!$A$2:$Q$301,COLUMN()-COLUMN($A34)+1,FALSE)</f>
        <v>5.52</v>
      </c>
      <c r="H53">
        <f>VLOOKUP("1"&amp;"_"&amp;$B$22&amp;"_"&amp;$A34,Лист2!$A$2:$Q$301,COLUMN()-COLUMN($A34)+1,FALSE)</f>
        <v>7.53</v>
      </c>
      <c r="I53">
        <f>VLOOKUP("1"&amp;"_"&amp;$B$22&amp;"_"&amp;$A34,Лист2!$A$2:$Q$301,COLUMN()-COLUMN($A34)+1,FALSE)</f>
        <v>7.53</v>
      </c>
      <c r="J53">
        <f>VLOOKUP("1"&amp;"_"&amp;$B$22&amp;"_"&amp;$A34,Лист2!$A$2:$Q$301,COLUMN()-COLUMN($A34)+1,FALSE)</f>
        <v>5</v>
      </c>
      <c r="K53">
        <f>VLOOKUP("1"&amp;"_"&amp;$B$22&amp;"_"&amp;$A34,Лист2!$A$2:$Q$301,COLUMN()-COLUMN($A34)+1,FALSE)</f>
        <v>16000</v>
      </c>
      <c r="L53">
        <f>VLOOKUP("1"&amp;"_"&amp;$B$22&amp;"_"&amp;$A34,Лист2!$A$2:$Q$301,COLUMN()-COLUMN($A34)+1,FALSE)</f>
        <v>54</v>
      </c>
      <c r="M53">
        <f>VLOOKUP("1"&amp;"_"&amp;$B$22&amp;"_"&amp;$A34,Лист2!$A$2:$Q$301,COLUMN()-COLUMN($A34)+1,FALSE)</f>
        <v>2.5299999999999998</v>
      </c>
      <c r="N53" t="str">
        <f>VLOOKUP("1"&amp;"_"&amp;$B$22&amp;"_"&amp;$A34,Лист2!$A$2:$Q$301,COLUMN()-COLUMN($A34)+1,FALSE)</f>
        <v>./DKS_math/Test/spch_dimkoef/ГПА-16 76-2,2 (01) ЮжРус(новая).csv</v>
      </c>
      <c r="O53">
        <f>VLOOKUP("1"&amp;"_"&amp;$B$22&amp;"_"&amp;$A34,Лист2!$A$2:$Q$301,COLUMN()-COLUMN($A34)+1,FALSE)</f>
        <v>100</v>
      </c>
      <c r="P53">
        <f>VLOOKUP("1"&amp;"_"&amp;$B$22&amp;"_"&amp;$A34,Лист2!$A$2:$Q$301,COLUMN()-COLUMN($A34)+1,FALSE)</f>
        <v>312.08999999999997</v>
      </c>
      <c r="Q53">
        <f>VLOOKUP("1"&amp;"_"&amp;$B$22&amp;"_"&amp;$A34,Лист2!$A$2:$Q$301,COLUMN()-COLUMN($A34)+1,FALSE)</f>
        <v>2</v>
      </c>
    </row>
    <row r="54" spans="1:17" x14ac:dyDescent="0.25">
      <c r="A54">
        <f t="shared" si="13"/>
        <v>58</v>
      </c>
      <c r="B54">
        <f>VLOOKUP("1"&amp;"_"&amp;$B$22&amp;"_"&amp;$A35,Лист2!$A$2:$Q$301,COLUMN()-COLUMN($A35)+1,FALSE)</f>
        <v>1</v>
      </c>
      <c r="C54">
        <f>VLOOKUP("1"&amp;"_"&amp;$B$22&amp;"_"&amp;$A35,Лист2!$A$2:$Q$301,COLUMN()-COLUMN($A35)+1,FALSE)</f>
        <v>1.34</v>
      </c>
      <c r="D54">
        <f>VLOOKUP("1"&amp;"_"&amp;$B$22&amp;"_"&amp;$A35,Лист2!$A$2:$Q$301,COLUMN()-COLUMN($A35)+1,FALSE)</f>
        <v>4232</v>
      </c>
      <c r="E54">
        <f>VLOOKUP("1"&amp;"_"&amp;$B$22&amp;"_"&amp;$A35,Лист2!$A$2:$Q$301,COLUMN()-COLUMN($A35)+1,FALSE)</f>
        <v>0.8</v>
      </c>
      <c r="F54">
        <f>VLOOKUP("1"&amp;"_"&amp;$B$22&amp;"_"&amp;$A35,Лист2!$A$2:$Q$301,COLUMN()-COLUMN($A35)+1,FALSE)</f>
        <v>4.13</v>
      </c>
      <c r="G54">
        <f>VLOOKUP("1"&amp;"_"&amp;$B$22&amp;"_"&amp;$A35,Лист2!$A$2:$Q$301,COLUMN()-COLUMN($A35)+1,FALSE)</f>
        <v>4.13</v>
      </c>
      <c r="H54">
        <f>VLOOKUP("1"&amp;"_"&amp;$B$22&amp;"_"&amp;$A35,Лист2!$A$2:$Q$301,COLUMN()-COLUMN($A35)+1,FALSE)</f>
        <v>5.55</v>
      </c>
      <c r="I54">
        <f>VLOOKUP("1"&amp;"_"&amp;$B$22&amp;"_"&amp;$A35,Лист2!$A$2:$Q$301,COLUMN()-COLUMN($A35)+1,FALSE)</f>
        <v>5.55</v>
      </c>
      <c r="J54">
        <f>VLOOKUP("1"&amp;"_"&amp;$B$22&amp;"_"&amp;$A35,Лист2!$A$2:$Q$301,COLUMN()-COLUMN($A35)+1,FALSE)</f>
        <v>5</v>
      </c>
      <c r="K54">
        <f>VLOOKUP("1"&amp;"_"&amp;$B$22&amp;"_"&amp;$A35,Лист2!$A$2:$Q$301,COLUMN()-COLUMN($A35)+1,FALSE)</f>
        <v>11182.98</v>
      </c>
      <c r="L54">
        <f>VLOOKUP("1"&amp;"_"&amp;$B$22&amp;"_"&amp;$A35,Лист2!$A$2:$Q$301,COLUMN()-COLUMN($A35)+1,FALSE)</f>
        <v>58</v>
      </c>
      <c r="M54">
        <f>VLOOKUP("1"&amp;"_"&amp;$B$22&amp;"_"&amp;$A35,Лист2!$A$2:$Q$301,COLUMN()-COLUMN($A35)+1,FALSE)</f>
        <v>0.55000000000000004</v>
      </c>
      <c r="N54" t="str">
        <f>VLOOKUP("1"&amp;"_"&amp;$B$22&amp;"_"&amp;$A35,Лист2!$A$2:$Q$301,COLUMN()-COLUMN($A35)+1,FALSE)</f>
        <v>./DKS_math/Test/spch_dimkoef/ГПА-16 76-2,2 (01) ЮжРус(новая).csv</v>
      </c>
      <c r="O54">
        <f>VLOOKUP("1"&amp;"_"&amp;$B$22&amp;"_"&amp;$A35,Лист2!$A$2:$Q$301,COLUMN()-COLUMN($A35)+1,FALSE)</f>
        <v>100</v>
      </c>
      <c r="P54">
        <f>VLOOKUP("1"&amp;"_"&amp;$B$22&amp;"_"&amp;$A35,Лист2!$A$2:$Q$301,COLUMN()-COLUMN($A35)+1,FALSE)</f>
        <v>308.33</v>
      </c>
      <c r="Q54">
        <f>VLOOKUP("1"&amp;"_"&amp;$B$22&amp;"_"&amp;$A35,Лист2!$A$2:$Q$301,COLUMN()-COLUMN($A35)+1,FALSE)</f>
        <v>3</v>
      </c>
    </row>
    <row r="55" spans="1:17" x14ac:dyDescent="0.25">
      <c r="A55">
        <f t="shared" si="13"/>
        <v>62</v>
      </c>
      <c r="B55">
        <f>VLOOKUP("1"&amp;"_"&amp;$B$22&amp;"_"&amp;$A36,Лист2!$A$2:$Q$301,COLUMN()-COLUMN($A36)+1,FALSE)</f>
        <v>1</v>
      </c>
      <c r="C55">
        <f>VLOOKUP("1"&amp;"_"&amp;$B$22&amp;"_"&amp;$A36,Лист2!$A$2:$Q$301,COLUMN()-COLUMN($A36)+1,FALSE)</f>
        <v>1.33</v>
      </c>
      <c r="D55">
        <f>VLOOKUP("1"&amp;"_"&amp;$B$22&amp;"_"&amp;$A36,Лист2!$A$2:$Q$301,COLUMN()-COLUMN($A36)+1,FALSE)</f>
        <v>3688</v>
      </c>
      <c r="E55">
        <f>VLOOKUP("1"&amp;"_"&amp;$B$22&amp;"_"&amp;$A36,Лист2!$A$2:$Q$301,COLUMN()-COLUMN($A36)+1,FALSE)</f>
        <v>0.7</v>
      </c>
      <c r="F55">
        <f>VLOOKUP("1"&amp;"_"&amp;$B$22&amp;"_"&amp;$A36,Лист2!$A$2:$Q$301,COLUMN()-COLUMN($A36)+1,FALSE)</f>
        <v>4.18</v>
      </c>
      <c r="G55">
        <f>VLOOKUP("1"&amp;"_"&amp;$B$22&amp;"_"&amp;$A36,Лист2!$A$2:$Q$301,COLUMN()-COLUMN($A36)+1,FALSE)</f>
        <v>4.18</v>
      </c>
      <c r="H55">
        <f>VLOOKUP("1"&amp;"_"&amp;$B$22&amp;"_"&amp;$A36,Лист2!$A$2:$Q$301,COLUMN()-COLUMN($A36)+1,FALSE)</f>
        <v>5.55</v>
      </c>
      <c r="I55">
        <f>VLOOKUP("1"&amp;"_"&amp;$B$22&amp;"_"&amp;$A36,Лист2!$A$2:$Q$301,COLUMN()-COLUMN($A36)+1,FALSE)</f>
        <v>5.55</v>
      </c>
      <c r="J55">
        <f>VLOOKUP("1"&amp;"_"&amp;$B$22&amp;"_"&amp;$A36,Лист2!$A$2:$Q$301,COLUMN()-COLUMN($A36)+1,FALSE)</f>
        <v>5</v>
      </c>
      <c r="K55">
        <f>VLOOKUP("1"&amp;"_"&amp;$B$22&amp;"_"&amp;$A36,Лист2!$A$2:$Q$301,COLUMN()-COLUMN($A36)+1,FALSE)</f>
        <v>7728.9</v>
      </c>
      <c r="L55">
        <f>VLOOKUP("1"&amp;"_"&amp;$B$22&amp;"_"&amp;$A36,Лист2!$A$2:$Q$301,COLUMN()-COLUMN($A36)+1,FALSE)</f>
        <v>62</v>
      </c>
      <c r="M55">
        <f>VLOOKUP("1"&amp;"_"&amp;$B$22&amp;"_"&amp;$A36,Лист2!$A$2:$Q$301,COLUMN()-COLUMN($A36)+1,FALSE)</f>
        <v>0.55000000000000004</v>
      </c>
      <c r="N55" t="str">
        <f>VLOOKUP("1"&amp;"_"&amp;$B$22&amp;"_"&amp;$A36,Лист2!$A$2:$Q$301,COLUMN()-COLUMN($A36)+1,FALSE)</f>
        <v>./DKS_math/Test/spch_dimkoef/ГПА-16 76-2,2 (01) ЮжРус(новая).csv</v>
      </c>
      <c r="O55">
        <f>VLOOKUP("1"&amp;"_"&amp;$B$22&amp;"_"&amp;$A36,Лист2!$A$2:$Q$301,COLUMN()-COLUMN($A36)+1,FALSE)</f>
        <v>84.48</v>
      </c>
      <c r="P55">
        <f>VLOOKUP("1"&amp;"_"&amp;$B$22&amp;"_"&amp;$A36,Лист2!$A$2:$Q$301,COLUMN()-COLUMN($A36)+1,FALSE)</f>
        <v>243.74</v>
      </c>
      <c r="Q55">
        <f>VLOOKUP("1"&amp;"_"&amp;$B$22&amp;"_"&amp;$A36,Лист2!$A$2:$Q$301,COLUMN()-COLUMN($A36)+1,FALSE)</f>
        <v>4</v>
      </c>
    </row>
    <row r="56" spans="1:17" x14ac:dyDescent="0.25">
      <c r="A56">
        <f t="shared" si="13"/>
        <v>66</v>
      </c>
      <c r="B56">
        <f>VLOOKUP("1"&amp;"_"&amp;$B$22&amp;"_"&amp;$A37,Лист2!$A$2:$Q$301,COLUMN()-COLUMN($A37)+1,FALSE)</f>
        <v>1</v>
      </c>
      <c r="C56">
        <f>VLOOKUP("1"&amp;"_"&amp;$B$22&amp;"_"&amp;$A37,Лист2!$A$2:$Q$301,COLUMN()-COLUMN($A37)+1,FALSE)</f>
        <v>1.47</v>
      </c>
      <c r="D56">
        <f>VLOOKUP("1"&amp;"_"&amp;$B$22&amp;"_"&amp;$A37,Лист2!$A$2:$Q$301,COLUMN()-COLUMN($A37)+1,FALSE)</f>
        <v>4591</v>
      </c>
      <c r="E56">
        <f>VLOOKUP("1"&amp;"_"&amp;$B$22&amp;"_"&amp;$A37,Лист2!$A$2:$Q$301,COLUMN()-COLUMN($A37)+1,FALSE)</f>
        <v>0.87</v>
      </c>
      <c r="F56">
        <f>VLOOKUP("1"&amp;"_"&amp;$B$22&amp;"_"&amp;$A37,Лист2!$A$2:$Q$301,COLUMN()-COLUMN($A37)+1,FALSE)</f>
        <v>4.5</v>
      </c>
      <c r="G56">
        <f>VLOOKUP("1"&amp;"_"&amp;$B$22&amp;"_"&amp;$A37,Лист2!$A$2:$Q$301,COLUMN()-COLUMN($A37)+1,FALSE)</f>
        <v>4.5</v>
      </c>
      <c r="H56">
        <f>VLOOKUP("1"&amp;"_"&amp;$B$22&amp;"_"&amp;$A37,Лист2!$A$2:$Q$301,COLUMN()-COLUMN($A37)+1,FALSE)</f>
        <v>6.64</v>
      </c>
      <c r="I56">
        <f>VLOOKUP("1"&amp;"_"&amp;$B$22&amp;"_"&amp;$A37,Лист2!$A$2:$Q$301,COLUMN()-COLUMN($A37)+1,FALSE)</f>
        <v>6.64</v>
      </c>
      <c r="J56">
        <f>VLOOKUP("1"&amp;"_"&amp;$B$22&amp;"_"&amp;$A37,Лист2!$A$2:$Q$301,COLUMN()-COLUMN($A37)+1,FALSE)</f>
        <v>5</v>
      </c>
      <c r="K56">
        <f>VLOOKUP("1"&amp;"_"&amp;$B$22&amp;"_"&amp;$A37,Лист2!$A$2:$Q$301,COLUMN()-COLUMN($A37)+1,FALSE)</f>
        <v>16000</v>
      </c>
      <c r="L56">
        <f>VLOOKUP("1"&amp;"_"&amp;$B$22&amp;"_"&amp;$A37,Лист2!$A$2:$Q$301,COLUMN()-COLUMN($A37)+1,FALSE)</f>
        <v>66</v>
      </c>
      <c r="M56">
        <f>VLOOKUP("1"&amp;"_"&amp;$B$22&amp;"_"&amp;$A37,Лист2!$A$2:$Q$301,COLUMN()-COLUMN($A37)+1,FALSE)</f>
        <v>1.64</v>
      </c>
      <c r="N56" t="str">
        <f>VLOOKUP("1"&amp;"_"&amp;$B$22&amp;"_"&amp;$A37,Лист2!$A$2:$Q$301,COLUMN()-COLUMN($A37)+1,FALSE)</f>
        <v>./DKS_math/Test/spch_dimkoef/ГПА-16 76-2,2 (01) ЮжРус(новая).csv</v>
      </c>
      <c r="O56">
        <f>VLOOKUP("1"&amp;"_"&amp;$B$22&amp;"_"&amp;$A37,Лист2!$A$2:$Q$301,COLUMN()-COLUMN($A37)+1,FALSE)</f>
        <v>92.35</v>
      </c>
      <c r="P56">
        <f>VLOOKUP("1"&amp;"_"&amp;$B$22&amp;"_"&amp;$A37,Лист2!$A$2:$Q$301,COLUMN()-COLUMN($A37)+1,FALSE)</f>
        <v>319.2</v>
      </c>
      <c r="Q56">
        <f>VLOOKUP("1"&amp;"_"&amp;$B$22&amp;"_"&amp;$A37,Лист2!$A$2:$Q$301,COLUMN()-COLUMN($A37)+1,FALSE)</f>
        <v>3</v>
      </c>
    </row>
  </sheetData>
  <conditionalFormatting sqref="N2:W1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2:AJ1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01"/>
  <sheetViews>
    <sheetView workbookViewId="0">
      <selection activeCell="U11" sqref="U11"/>
    </sheetView>
  </sheetViews>
  <sheetFormatPr defaultRowHeight="15" x14ac:dyDescent="0.25"/>
  <sheetData>
    <row r="1" spans="1:17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 x14ac:dyDescent="0.25">
      <c r="A2" t="str">
        <f>B2&amp;"_"&amp;J2&amp;"_"&amp;L2</f>
        <v>0_5_10</v>
      </c>
      <c r="B2" s="1">
        <v>0</v>
      </c>
      <c r="C2">
        <v>1.48</v>
      </c>
      <c r="D2">
        <v>4148</v>
      </c>
      <c r="E2">
        <v>0.78</v>
      </c>
      <c r="F2">
        <v>1.58</v>
      </c>
      <c r="G2">
        <v>1.58</v>
      </c>
      <c r="H2">
        <v>2.35</v>
      </c>
      <c r="I2">
        <v>2.35</v>
      </c>
      <c r="J2">
        <v>5</v>
      </c>
      <c r="K2">
        <v>7007.98</v>
      </c>
      <c r="L2">
        <v>10</v>
      </c>
      <c r="M2">
        <v>2.65</v>
      </c>
      <c r="N2" t="s">
        <v>16</v>
      </c>
      <c r="O2">
        <v>91.17</v>
      </c>
      <c r="P2">
        <v>439.53</v>
      </c>
      <c r="Q2">
        <v>1</v>
      </c>
    </row>
    <row r="3" spans="1:17" x14ac:dyDescent="0.25">
      <c r="A3" t="str">
        <f t="shared" ref="A3:A66" si="0">B3&amp;"_"&amp;J3&amp;"_"&amp;L3</f>
        <v>1_5_10</v>
      </c>
      <c r="B3" s="1">
        <v>1</v>
      </c>
      <c r="C3">
        <v>2.19</v>
      </c>
      <c r="D3">
        <v>5565</v>
      </c>
      <c r="E3">
        <v>1.05</v>
      </c>
      <c r="F3">
        <v>2.29</v>
      </c>
      <c r="G3">
        <v>2.29</v>
      </c>
      <c r="H3">
        <v>5</v>
      </c>
      <c r="I3">
        <v>5</v>
      </c>
      <c r="J3">
        <v>5</v>
      </c>
      <c r="K3">
        <v>13651.89</v>
      </c>
      <c r="L3">
        <v>10</v>
      </c>
      <c r="M3">
        <v>0</v>
      </c>
      <c r="N3" t="s">
        <v>17</v>
      </c>
      <c r="O3">
        <v>56.25</v>
      </c>
      <c r="P3">
        <v>299.32</v>
      </c>
      <c r="Q3">
        <v>1</v>
      </c>
    </row>
    <row r="4" spans="1:17" x14ac:dyDescent="0.25">
      <c r="A4" t="str">
        <f t="shared" si="0"/>
        <v>0_5.1_10</v>
      </c>
      <c r="B4" s="1">
        <v>0</v>
      </c>
      <c r="C4">
        <v>2.83</v>
      </c>
      <c r="D4">
        <v>5565</v>
      </c>
      <c r="E4">
        <v>1.05</v>
      </c>
      <c r="F4">
        <v>0.84</v>
      </c>
      <c r="G4">
        <v>0.84</v>
      </c>
      <c r="H4">
        <v>2.37</v>
      </c>
      <c r="I4">
        <v>2.37</v>
      </c>
      <c r="J4">
        <v>5.0999999999999996</v>
      </c>
      <c r="K4">
        <v>8828.2000000000007</v>
      </c>
      <c r="L4">
        <v>10</v>
      </c>
      <c r="M4">
        <v>2.73</v>
      </c>
      <c r="N4" t="s">
        <v>16</v>
      </c>
      <c r="O4">
        <v>51.33</v>
      </c>
      <c r="P4">
        <v>420.73</v>
      </c>
      <c r="Q4">
        <v>2</v>
      </c>
    </row>
    <row r="5" spans="1:17" x14ac:dyDescent="0.25">
      <c r="A5" t="str">
        <f t="shared" si="0"/>
        <v>1_5.1_10</v>
      </c>
      <c r="B5" s="1">
        <v>1</v>
      </c>
      <c r="C5">
        <v>2.2000000000000002</v>
      </c>
      <c r="D5">
        <v>5565</v>
      </c>
      <c r="E5">
        <v>1.05</v>
      </c>
      <c r="F5">
        <v>2.31</v>
      </c>
      <c r="G5">
        <v>2.31</v>
      </c>
      <c r="H5">
        <v>5.0999999999999996</v>
      </c>
      <c r="I5">
        <v>5.0999999999999996</v>
      </c>
      <c r="J5">
        <v>5.0999999999999996</v>
      </c>
      <c r="K5">
        <v>13772.34</v>
      </c>
      <c r="L5">
        <v>10</v>
      </c>
      <c r="M5">
        <v>0</v>
      </c>
      <c r="N5" t="s">
        <v>17</v>
      </c>
      <c r="O5">
        <v>54.78</v>
      </c>
      <c r="P5">
        <v>295.75</v>
      </c>
      <c r="Q5">
        <v>1</v>
      </c>
    </row>
    <row r="6" spans="1:17" x14ac:dyDescent="0.25">
      <c r="A6" t="str">
        <f t="shared" si="0"/>
        <v>0_5.2_10</v>
      </c>
      <c r="B6" s="1">
        <v>0</v>
      </c>
      <c r="C6">
        <v>1.99</v>
      </c>
      <c r="D6">
        <v>5565</v>
      </c>
      <c r="E6">
        <v>1.05</v>
      </c>
      <c r="F6">
        <v>1.2</v>
      </c>
      <c r="G6">
        <v>1.2</v>
      </c>
      <c r="H6">
        <v>2.4</v>
      </c>
      <c r="I6">
        <v>2.4</v>
      </c>
      <c r="J6">
        <v>5.2</v>
      </c>
      <c r="K6">
        <v>12796.21</v>
      </c>
      <c r="L6">
        <v>10</v>
      </c>
      <c r="M6">
        <v>2.8</v>
      </c>
      <c r="N6" t="s">
        <v>16</v>
      </c>
      <c r="O6">
        <v>89.26</v>
      </c>
      <c r="P6">
        <v>581.51</v>
      </c>
      <c r="Q6">
        <v>1</v>
      </c>
    </row>
    <row r="7" spans="1:17" x14ac:dyDescent="0.25">
      <c r="A7" t="str">
        <f t="shared" si="0"/>
        <v>1_5.2_10</v>
      </c>
      <c r="B7" s="1">
        <v>1</v>
      </c>
      <c r="C7">
        <v>2.2200000000000002</v>
      </c>
      <c r="D7">
        <v>5565</v>
      </c>
      <c r="E7">
        <v>1.05</v>
      </c>
      <c r="F7">
        <v>2.34</v>
      </c>
      <c r="G7">
        <v>2.34</v>
      </c>
      <c r="H7">
        <v>5.2</v>
      </c>
      <c r="I7">
        <v>5.2</v>
      </c>
      <c r="J7">
        <v>5.2</v>
      </c>
      <c r="K7">
        <v>13891.16</v>
      </c>
      <c r="L7">
        <v>10</v>
      </c>
      <c r="M7">
        <v>0</v>
      </c>
      <c r="N7" t="s">
        <v>17</v>
      </c>
      <c r="O7">
        <v>53.34</v>
      </c>
      <c r="P7">
        <v>292.25</v>
      </c>
      <c r="Q7">
        <v>1</v>
      </c>
    </row>
    <row r="8" spans="1:17" x14ac:dyDescent="0.25">
      <c r="A8" t="str">
        <f t="shared" si="0"/>
        <v>0_5.3_10</v>
      </c>
      <c r="B8" s="1">
        <v>0</v>
      </c>
      <c r="C8">
        <v>2.0099999999999998</v>
      </c>
      <c r="D8">
        <v>5565</v>
      </c>
      <c r="E8">
        <v>1.05</v>
      </c>
      <c r="F8">
        <v>1.21</v>
      </c>
      <c r="G8">
        <v>1.21</v>
      </c>
      <c r="H8">
        <v>2.4300000000000002</v>
      </c>
      <c r="I8">
        <v>2.4300000000000002</v>
      </c>
      <c r="J8">
        <v>5.3</v>
      </c>
      <c r="K8">
        <v>12865.4</v>
      </c>
      <c r="L8">
        <v>10</v>
      </c>
      <c r="M8">
        <v>2.87</v>
      </c>
      <c r="N8" t="s">
        <v>16</v>
      </c>
      <c r="O8">
        <v>88.57</v>
      </c>
      <c r="P8">
        <v>578.58000000000004</v>
      </c>
      <c r="Q8">
        <v>1</v>
      </c>
    </row>
    <row r="9" spans="1:17" x14ac:dyDescent="0.25">
      <c r="A9" t="str">
        <f t="shared" si="0"/>
        <v>1_5.3_10</v>
      </c>
      <c r="B9" s="1">
        <v>1</v>
      </c>
      <c r="C9">
        <v>2.2400000000000002</v>
      </c>
      <c r="D9">
        <v>5565</v>
      </c>
      <c r="E9">
        <v>1.05</v>
      </c>
      <c r="F9">
        <v>2.37</v>
      </c>
      <c r="G9">
        <v>2.37</v>
      </c>
      <c r="H9">
        <v>5.3</v>
      </c>
      <c r="I9">
        <v>5.3</v>
      </c>
      <c r="J9">
        <v>5.3</v>
      </c>
      <c r="K9">
        <v>14008.44</v>
      </c>
      <c r="L9">
        <v>10</v>
      </c>
      <c r="M9">
        <v>0</v>
      </c>
      <c r="N9" t="s">
        <v>17</v>
      </c>
      <c r="O9">
        <v>51.92</v>
      </c>
      <c r="P9">
        <v>288.8</v>
      </c>
      <c r="Q9">
        <v>1</v>
      </c>
    </row>
    <row r="10" spans="1:17" x14ac:dyDescent="0.25">
      <c r="A10" t="str">
        <f t="shared" si="0"/>
        <v>0_5.4_10</v>
      </c>
      <c r="B10" s="1">
        <v>0</v>
      </c>
      <c r="C10">
        <v>2.02</v>
      </c>
      <c r="D10">
        <v>5565</v>
      </c>
      <c r="E10">
        <v>1.05</v>
      </c>
      <c r="F10">
        <v>1.22</v>
      </c>
      <c r="G10">
        <v>1.22</v>
      </c>
      <c r="H10">
        <v>2.4500000000000002</v>
      </c>
      <c r="I10">
        <v>2.4500000000000002</v>
      </c>
      <c r="J10">
        <v>5.4</v>
      </c>
      <c r="K10">
        <v>12934.03</v>
      </c>
      <c r="L10">
        <v>10</v>
      </c>
      <c r="M10">
        <v>2.95</v>
      </c>
      <c r="N10" t="s">
        <v>16</v>
      </c>
      <c r="O10">
        <v>87.89</v>
      </c>
      <c r="P10">
        <v>575.67999999999995</v>
      </c>
      <c r="Q10">
        <v>1</v>
      </c>
    </row>
    <row r="11" spans="1:17" x14ac:dyDescent="0.25">
      <c r="A11" t="str">
        <f t="shared" si="0"/>
        <v>1_5.4_10</v>
      </c>
      <c r="B11" s="1">
        <v>1</v>
      </c>
      <c r="C11">
        <v>2.2599999999999998</v>
      </c>
      <c r="D11">
        <v>5565</v>
      </c>
      <c r="E11">
        <v>1.05</v>
      </c>
      <c r="F11">
        <v>2.39</v>
      </c>
      <c r="G11">
        <v>2.39</v>
      </c>
      <c r="H11">
        <v>5.4</v>
      </c>
      <c r="I11">
        <v>5.4</v>
      </c>
      <c r="J11">
        <v>5.4</v>
      </c>
      <c r="K11">
        <v>14124.23</v>
      </c>
      <c r="L11">
        <v>10</v>
      </c>
      <c r="M11">
        <v>0</v>
      </c>
      <c r="N11" t="s">
        <v>17</v>
      </c>
      <c r="O11">
        <v>50.52</v>
      </c>
      <c r="P11">
        <v>285.39999999999998</v>
      </c>
      <c r="Q11">
        <v>1</v>
      </c>
    </row>
    <row r="12" spans="1:17" x14ac:dyDescent="0.25">
      <c r="A12" t="str">
        <f t="shared" si="0"/>
        <v>0_5.5_10</v>
      </c>
      <c r="B12" s="1">
        <v>0</v>
      </c>
      <c r="C12">
        <v>2.0299999999999998</v>
      </c>
      <c r="D12">
        <v>5565</v>
      </c>
      <c r="E12">
        <v>1.05</v>
      </c>
      <c r="F12">
        <v>1.22</v>
      </c>
      <c r="G12">
        <v>1.22</v>
      </c>
      <c r="H12">
        <v>2.48</v>
      </c>
      <c r="I12">
        <v>2.48</v>
      </c>
      <c r="J12">
        <v>5.5</v>
      </c>
      <c r="K12">
        <v>13004.61</v>
      </c>
      <c r="L12">
        <v>10</v>
      </c>
      <c r="M12">
        <v>3.02</v>
      </c>
      <c r="N12" t="s">
        <v>16</v>
      </c>
      <c r="O12">
        <v>87.22</v>
      </c>
      <c r="P12">
        <v>572.86</v>
      </c>
      <c r="Q12">
        <v>1</v>
      </c>
    </row>
    <row r="13" spans="1:17" x14ac:dyDescent="0.25">
      <c r="A13" t="str">
        <f t="shared" si="0"/>
        <v>1_5.5_10</v>
      </c>
      <c r="B13" s="1">
        <v>1</v>
      </c>
      <c r="C13">
        <v>2.27</v>
      </c>
      <c r="D13">
        <v>5565</v>
      </c>
      <c r="E13">
        <v>1.05</v>
      </c>
      <c r="F13">
        <v>2.42</v>
      </c>
      <c r="G13">
        <v>2.42</v>
      </c>
      <c r="H13">
        <v>5.5</v>
      </c>
      <c r="I13">
        <v>5.5</v>
      </c>
      <c r="J13">
        <v>5.5</v>
      </c>
      <c r="K13">
        <v>14238.58</v>
      </c>
      <c r="L13">
        <v>10</v>
      </c>
      <c r="M13">
        <v>0</v>
      </c>
      <c r="N13" t="s">
        <v>17</v>
      </c>
      <c r="O13">
        <v>49.14</v>
      </c>
      <c r="P13">
        <v>282.06</v>
      </c>
      <c r="Q13">
        <v>1</v>
      </c>
    </row>
    <row r="14" spans="1:17" x14ac:dyDescent="0.25">
      <c r="A14" t="str">
        <f t="shared" si="0"/>
        <v>0_5.6_10</v>
      </c>
      <c r="B14" s="1">
        <v>0</v>
      </c>
      <c r="C14">
        <v>2.04</v>
      </c>
      <c r="D14">
        <v>5565</v>
      </c>
      <c r="E14">
        <v>1.05</v>
      </c>
      <c r="F14">
        <v>1.23</v>
      </c>
      <c r="G14">
        <v>1.23</v>
      </c>
      <c r="H14">
        <v>2.5099999999999998</v>
      </c>
      <c r="I14">
        <v>2.5099999999999998</v>
      </c>
      <c r="J14">
        <v>5.6</v>
      </c>
      <c r="K14">
        <v>13074.58</v>
      </c>
      <c r="L14">
        <v>10</v>
      </c>
      <c r="M14">
        <v>3.09</v>
      </c>
      <c r="N14" t="s">
        <v>16</v>
      </c>
      <c r="O14">
        <v>86.56</v>
      </c>
      <c r="P14">
        <v>570.05999999999995</v>
      </c>
      <c r="Q14">
        <v>1</v>
      </c>
    </row>
    <row r="15" spans="1:17" x14ac:dyDescent="0.25">
      <c r="A15" t="str">
        <f t="shared" si="0"/>
        <v>1_5.6_10</v>
      </c>
      <c r="B15" s="1">
        <v>1</v>
      </c>
      <c r="C15">
        <v>2.29</v>
      </c>
      <c r="D15">
        <v>5565</v>
      </c>
      <c r="E15">
        <v>1.05</v>
      </c>
      <c r="F15">
        <v>2.4500000000000002</v>
      </c>
      <c r="G15">
        <v>2.4500000000000002</v>
      </c>
      <c r="H15">
        <v>5.6</v>
      </c>
      <c r="I15">
        <v>5.6</v>
      </c>
      <c r="J15">
        <v>5.6</v>
      </c>
      <c r="K15">
        <v>14351.53</v>
      </c>
      <c r="L15">
        <v>10</v>
      </c>
      <c r="M15">
        <v>0</v>
      </c>
      <c r="N15" t="s">
        <v>17</v>
      </c>
      <c r="O15">
        <v>47.78</v>
      </c>
      <c r="P15">
        <v>278.76</v>
      </c>
      <c r="Q15">
        <v>1</v>
      </c>
    </row>
    <row r="16" spans="1:17" x14ac:dyDescent="0.25">
      <c r="A16" t="str">
        <f t="shared" si="0"/>
        <v>0_5.7_10</v>
      </c>
      <c r="B16" s="1">
        <v>0</v>
      </c>
      <c r="C16">
        <v>2.06</v>
      </c>
      <c r="D16">
        <v>5565</v>
      </c>
      <c r="E16">
        <v>1.05</v>
      </c>
      <c r="F16">
        <v>1.23</v>
      </c>
      <c r="G16">
        <v>1.23</v>
      </c>
      <c r="H16">
        <v>2.54</v>
      </c>
      <c r="I16">
        <v>2.54</v>
      </c>
      <c r="J16">
        <v>5.7</v>
      </c>
      <c r="K16">
        <v>13144.31</v>
      </c>
      <c r="L16">
        <v>10</v>
      </c>
      <c r="M16">
        <v>3.16</v>
      </c>
      <c r="N16" t="s">
        <v>16</v>
      </c>
      <c r="O16">
        <v>85.9</v>
      </c>
      <c r="P16">
        <v>567.28</v>
      </c>
      <c r="Q16">
        <v>1</v>
      </c>
    </row>
    <row r="17" spans="1:17" x14ac:dyDescent="0.25">
      <c r="A17" t="str">
        <f t="shared" si="0"/>
        <v>1_5.7_10</v>
      </c>
      <c r="B17" s="1">
        <v>1</v>
      </c>
      <c r="C17">
        <v>2.2999999999999998</v>
      </c>
      <c r="D17">
        <v>5565</v>
      </c>
      <c r="E17">
        <v>1.05</v>
      </c>
      <c r="F17">
        <v>2.48</v>
      </c>
      <c r="G17">
        <v>2.48</v>
      </c>
      <c r="H17">
        <v>5.7</v>
      </c>
      <c r="I17">
        <v>5.7</v>
      </c>
      <c r="J17">
        <v>5.7</v>
      </c>
      <c r="K17">
        <v>14463.1</v>
      </c>
      <c r="L17">
        <v>10</v>
      </c>
      <c r="M17">
        <v>0</v>
      </c>
      <c r="N17" t="s">
        <v>17</v>
      </c>
      <c r="O17">
        <v>46.44</v>
      </c>
      <c r="P17">
        <v>275.52</v>
      </c>
      <c r="Q17">
        <v>1</v>
      </c>
    </row>
    <row r="18" spans="1:17" x14ac:dyDescent="0.25">
      <c r="A18" t="str">
        <f t="shared" si="0"/>
        <v>0_5.8_10</v>
      </c>
      <c r="B18" s="1">
        <v>0</v>
      </c>
      <c r="C18">
        <v>1.72</v>
      </c>
      <c r="D18">
        <v>4652</v>
      </c>
      <c r="E18">
        <v>0.88</v>
      </c>
      <c r="F18">
        <v>1.49</v>
      </c>
      <c r="G18">
        <v>1.49</v>
      </c>
      <c r="H18">
        <v>2.56</v>
      </c>
      <c r="I18">
        <v>2.56</v>
      </c>
      <c r="J18">
        <v>5.8</v>
      </c>
      <c r="K18">
        <v>9369.64</v>
      </c>
      <c r="L18">
        <v>10</v>
      </c>
      <c r="M18">
        <v>3.24</v>
      </c>
      <c r="N18" t="s">
        <v>16</v>
      </c>
      <c r="O18">
        <v>83.53</v>
      </c>
      <c r="P18">
        <v>465.84</v>
      </c>
      <c r="Q18">
        <v>1</v>
      </c>
    </row>
    <row r="19" spans="1:17" x14ac:dyDescent="0.25">
      <c r="A19" t="str">
        <f t="shared" si="0"/>
        <v>1_5.8_10</v>
      </c>
      <c r="B19" s="1">
        <v>1</v>
      </c>
      <c r="C19">
        <v>2.3199999999999998</v>
      </c>
      <c r="D19">
        <v>5565</v>
      </c>
      <c r="E19">
        <v>1.05</v>
      </c>
      <c r="F19">
        <v>2.5</v>
      </c>
      <c r="G19">
        <v>2.5</v>
      </c>
      <c r="H19">
        <v>5.8</v>
      </c>
      <c r="I19">
        <v>5.8</v>
      </c>
      <c r="J19">
        <v>5.8</v>
      </c>
      <c r="K19">
        <v>14573.32</v>
      </c>
      <c r="L19">
        <v>10</v>
      </c>
      <c r="M19">
        <v>0</v>
      </c>
      <c r="N19" t="s">
        <v>17</v>
      </c>
      <c r="O19">
        <v>45.12</v>
      </c>
      <c r="P19">
        <v>272.31</v>
      </c>
      <c r="Q19">
        <v>1</v>
      </c>
    </row>
    <row r="20" spans="1:17" x14ac:dyDescent="0.25">
      <c r="A20" t="str">
        <f t="shared" si="0"/>
        <v>0_5.9_10</v>
      </c>
      <c r="B20" s="1">
        <v>0</v>
      </c>
      <c r="C20">
        <v>1.56</v>
      </c>
      <c r="D20">
        <v>4168</v>
      </c>
      <c r="E20">
        <v>0.79</v>
      </c>
      <c r="F20">
        <v>1.66</v>
      </c>
      <c r="G20">
        <v>1.66</v>
      </c>
      <c r="H20">
        <v>2.59</v>
      </c>
      <c r="I20">
        <v>2.59</v>
      </c>
      <c r="J20">
        <v>5.9</v>
      </c>
      <c r="K20">
        <v>7530.78</v>
      </c>
      <c r="L20">
        <v>10</v>
      </c>
      <c r="M20">
        <v>3.31</v>
      </c>
      <c r="N20" t="s">
        <v>16</v>
      </c>
      <c r="O20">
        <v>83.35</v>
      </c>
      <c r="P20">
        <v>416.74</v>
      </c>
      <c r="Q20">
        <v>1</v>
      </c>
    </row>
    <row r="21" spans="1:17" x14ac:dyDescent="0.25">
      <c r="A21" t="str">
        <f t="shared" si="0"/>
        <v>1_5.9_10</v>
      </c>
      <c r="B21" s="1">
        <v>1</v>
      </c>
      <c r="C21">
        <v>2.33</v>
      </c>
      <c r="D21">
        <v>5565</v>
      </c>
      <c r="E21">
        <v>1.05</v>
      </c>
      <c r="F21">
        <v>2.5299999999999998</v>
      </c>
      <c r="G21">
        <v>2.5299999999999998</v>
      </c>
      <c r="H21">
        <v>5.9</v>
      </c>
      <c r="I21">
        <v>5.9</v>
      </c>
      <c r="J21">
        <v>5.9</v>
      </c>
      <c r="K21">
        <v>14682.19</v>
      </c>
      <c r="L21">
        <v>10</v>
      </c>
      <c r="M21">
        <v>0</v>
      </c>
      <c r="N21" t="s">
        <v>17</v>
      </c>
      <c r="O21">
        <v>43.82</v>
      </c>
      <c r="P21">
        <v>269.16000000000003</v>
      </c>
      <c r="Q21">
        <v>1</v>
      </c>
    </row>
    <row r="22" spans="1:17" x14ac:dyDescent="0.25">
      <c r="A22" t="str">
        <f t="shared" si="0"/>
        <v>0_5_14</v>
      </c>
      <c r="B22" s="1">
        <v>0</v>
      </c>
      <c r="C22">
        <v>1.71</v>
      </c>
      <c r="D22">
        <v>5153</v>
      </c>
      <c r="E22">
        <v>0.97</v>
      </c>
      <c r="F22">
        <v>1.67</v>
      </c>
      <c r="G22">
        <v>1.67</v>
      </c>
      <c r="H22">
        <v>2.86</v>
      </c>
      <c r="I22">
        <v>2.86</v>
      </c>
      <c r="J22">
        <v>5</v>
      </c>
      <c r="K22">
        <v>14351.77</v>
      </c>
      <c r="L22">
        <v>14</v>
      </c>
      <c r="M22">
        <v>2.14</v>
      </c>
      <c r="N22" t="s">
        <v>16</v>
      </c>
      <c r="O22">
        <v>100</v>
      </c>
      <c r="P22">
        <v>580.65</v>
      </c>
      <c r="Q22">
        <v>1</v>
      </c>
    </row>
    <row r="23" spans="1:17" x14ac:dyDescent="0.25">
      <c r="A23" t="str">
        <f t="shared" si="0"/>
        <v>1_5_14</v>
      </c>
      <c r="B23" s="1">
        <v>1</v>
      </c>
      <c r="C23">
        <v>1.88</v>
      </c>
      <c r="D23">
        <v>5419</v>
      </c>
      <c r="E23">
        <v>1.02</v>
      </c>
      <c r="F23">
        <v>2.8</v>
      </c>
      <c r="G23">
        <v>2.8</v>
      </c>
      <c r="H23">
        <v>5.26</v>
      </c>
      <c r="I23">
        <v>5.26</v>
      </c>
      <c r="J23">
        <v>5</v>
      </c>
      <c r="K23">
        <v>15999.3</v>
      </c>
      <c r="L23">
        <v>14</v>
      </c>
      <c r="M23">
        <v>0.26</v>
      </c>
      <c r="N23" t="s">
        <v>17</v>
      </c>
      <c r="O23">
        <v>75.98</v>
      </c>
      <c r="P23">
        <v>338.08</v>
      </c>
      <c r="Q23">
        <v>1</v>
      </c>
    </row>
    <row r="24" spans="1:17" x14ac:dyDescent="0.25">
      <c r="A24" t="str">
        <f t="shared" si="0"/>
        <v>0_5.1_14</v>
      </c>
      <c r="B24" s="1">
        <v>0</v>
      </c>
      <c r="C24">
        <v>1.71</v>
      </c>
      <c r="D24">
        <v>5153</v>
      </c>
      <c r="E24">
        <v>0.97</v>
      </c>
      <c r="F24">
        <v>1.67</v>
      </c>
      <c r="G24">
        <v>1.67</v>
      </c>
      <c r="H24">
        <v>2.86</v>
      </c>
      <c r="I24">
        <v>2.86</v>
      </c>
      <c r="J24">
        <v>5.0999999999999996</v>
      </c>
      <c r="K24">
        <v>14349.74</v>
      </c>
      <c r="L24">
        <v>14</v>
      </c>
      <c r="M24">
        <v>2.2400000000000002</v>
      </c>
      <c r="N24" t="s">
        <v>16</v>
      </c>
      <c r="O24">
        <v>100</v>
      </c>
      <c r="P24">
        <v>580.61</v>
      </c>
      <c r="Q24">
        <v>1</v>
      </c>
    </row>
    <row r="25" spans="1:17" x14ac:dyDescent="0.25">
      <c r="A25" t="str">
        <f t="shared" si="0"/>
        <v>1_5.1_14</v>
      </c>
      <c r="B25" s="1">
        <v>1</v>
      </c>
      <c r="C25">
        <v>1.84</v>
      </c>
      <c r="D25">
        <v>5370</v>
      </c>
      <c r="E25">
        <v>1.01</v>
      </c>
      <c r="F25">
        <v>2.8</v>
      </c>
      <c r="G25">
        <v>2.8</v>
      </c>
      <c r="H25">
        <v>5.17</v>
      </c>
      <c r="I25">
        <v>5.17</v>
      </c>
      <c r="J25">
        <v>5.0999999999999996</v>
      </c>
      <c r="K25">
        <v>15574.7</v>
      </c>
      <c r="L25">
        <v>14</v>
      </c>
      <c r="M25">
        <v>7.0000000000000007E-2</v>
      </c>
      <c r="N25" t="s">
        <v>17</v>
      </c>
      <c r="O25">
        <v>77.28</v>
      </c>
      <c r="P25">
        <v>338.08</v>
      </c>
      <c r="Q25">
        <v>1</v>
      </c>
    </row>
    <row r="26" spans="1:17" x14ac:dyDescent="0.25">
      <c r="A26" t="str">
        <f t="shared" si="0"/>
        <v>0_5.2_14</v>
      </c>
      <c r="B26" s="1">
        <v>0</v>
      </c>
      <c r="C26">
        <v>1.71</v>
      </c>
      <c r="D26">
        <v>5153</v>
      </c>
      <c r="E26">
        <v>0.97</v>
      </c>
      <c r="F26">
        <v>1.67</v>
      </c>
      <c r="G26">
        <v>1.67</v>
      </c>
      <c r="H26">
        <v>2.86</v>
      </c>
      <c r="I26">
        <v>2.86</v>
      </c>
      <c r="J26">
        <v>5.2</v>
      </c>
      <c r="K26">
        <v>14350.73</v>
      </c>
      <c r="L26">
        <v>14</v>
      </c>
      <c r="M26">
        <v>2.34</v>
      </c>
      <c r="N26" t="s">
        <v>16</v>
      </c>
      <c r="O26">
        <v>100</v>
      </c>
      <c r="P26">
        <v>580.63</v>
      </c>
      <c r="Q26">
        <v>1</v>
      </c>
    </row>
    <row r="27" spans="1:17" x14ac:dyDescent="0.25">
      <c r="A27" t="str">
        <f t="shared" si="0"/>
        <v>1_5.2_14</v>
      </c>
      <c r="B27" s="1">
        <v>1</v>
      </c>
      <c r="C27">
        <v>1.85</v>
      </c>
      <c r="D27">
        <v>5387</v>
      </c>
      <c r="E27">
        <v>1.02</v>
      </c>
      <c r="F27">
        <v>2.8</v>
      </c>
      <c r="G27">
        <v>2.8</v>
      </c>
      <c r="H27">
        <v>5.2</v>
      </c>
      <c r="I27">
        <v>5.2</v>
      </c>
      <c r="J27">
        <v>5.2</v>
      </c>
      <c r="K27">
        <v>15722.77</v>
      </c>
      <c r="L27">
        <v>14</v>
      </c>
      <c r="M27">
        <v>0</v>
      </c>
      <c r="N27" t="s">
        <v>17</v>
      </c>
      <c r="O27">
        <v>76.83</v>
      </c>
      <c r="P27">
        <v>338.08</v>
      </c>
      <c r="Q27">
        <v>1</v>
      </c>
    </row>
    <row r="28" spans="1:17" x14ac:dyDescent="0.25">
      <c r="A28" t="str">
        <f t="shared" si="0"/>
        <v>0_5.3_14</v>
      </c>
      <c r="B28" s="1">
        <v>0</v>
      </c>
      <c r="C28">
        <v>1.59</v>
      </c>
      <c r="D28">
        <v>4754</v>
      </c>
      <c r="E28">
        <v>0.9</v>
      </c>
      <c r="F28">
        <v>1.81</v>
      </c>
      <c r="G28">
        <v>1.81</v>
      </c>
      <c r="H28">
        <v>2.88</v>
      </c>
      <c r="I28">
        <v>2.88</v>
      </c>
      <c r="J28">
        <v>5.3</v>
      </c>
      <c r="K28">
        <v>12217.08</v>
      </c>
      <c r="L28">
        <v>14</v>
      </c>
      <c r="M28">
        <v>2.42</v>
      </c>
      <c r="N28" t="s">
        <v>16</v>
      </c>
      <c r="O28">
        <v>99.99</v>
      </c>
      <c r="P28">
        <v>535.69000000000005</v>
      </c>
      <c r="Q28">
        <v>1</v>
      </c>
    </row>
    <row r="29" spans="1:17" x14ac:dyDescent="0.25">
      <c r="A29" t="str">
        <f t="shared" si="0"/>
        <v>1_5.3_14</v>
      </c>
      <c r="B29" s="1">
        <v>1</v>
      </c>
      <c r="C29">
        <v>1.88</v>
      </c>
      <c r="D29">
        <v>5410</v>
      </c>
      <c r="E29">
        <v>1.02</v>
      </c>
      <c r="F29">
        <v>2.82</v>
      </c>
      <c r="G29">
        <v>2.82</v>
      </c>
      <c r="H29">
        <v>5.3</v>
      </c>
      <c r="I29">
        <v>5.3</v>
      </c>
      <c r="J29">
        <v>5.3</v>
      </c>
      <c r="K29">
        <v>16000</v>
      </c>
      <c r="L29">
        <v>14</v>
      </c>
      <c r="M29">
        <v>0</v>
      </c>
      <c r="N29" t="s">
        <v>17</v>
      </c>
      <c r="O29">
        <v>75.459999999999994</v>
      </c>
      <c r="P29">
        <v>336.27</v>
      </c>
      <c r="Q29">
        <v>1</v>
      </c>
    </row>
    <row r="30" spans="1:17" x14ac:dyDescent="0.25">
      <c r="A30" t="str">
        <f t="shared" si="0"/>
        <v>0_5.4_14</v>
      </c>
      <c r="B30" s="1">
        <v>0</v>
      </c>
      <c r="C30">
        <v>1.5</v>
      </c>
      <c r="D30">
        <v>4391</v>
      </c>
      <c r="E30">
        <v>0.83</v>
      </c>
      <c r="F30">
        <v>1.95</v>
      </c>
      <c r="G30">
        <v>1.95</v>
      </c>
      <c r="H30">
        <v>2.92</v>
      </c>
      <c r="I30">
        <v>2.92</v>
      </c>
      <c r="J30">
        <v>5.4</v>
      </c>
      <c r="K30">
        <v>10419.959999999999</v>
      </c>
      <c r="L30">
        <v>14</v>
      </c>
      <c r="M30">
        <v>2.48</v>
      </c>
      <c r="N30" t="s">
        <v>16</v>
      </c>
      <c r="O30">
        <v>99.97</v>
      </c>
      <c r="P30">
        <v>494.61</v>
      </c>
      <c r="Q30">
        <v>1</v>
      </c>
    </row>
    <row r="31" spans="1:17" x14ac:dyDescent="0.25">
      <c r="A31" t="str">
        <f t="shared" si="0"/>
        <v>1_5.4_14</v>
      </c>
      <c r="B31" s="1">
        <v>1</v>
      </c>
      <c r="C31">
        <v>1.89</v>
      </c>
      <c r="D31">
        <v>5383</v>
      </c>
      <c r="E31">
        <v>1.02</v>
      </c>
      <c r="F31">
        <v>2.86</v>
      </c>
      <c r="G31">
        <v>2.86</v>
      </c>
      <c r="H31">
        <v>5.4</v>
      </c>
      <c r="I31">
        <v>5.4</v>
      </c>
      <c r="J31">
        <v>5.4</v>
      </c>
      <c r="K31">
        <v>16000</v>
      </c>
      <c r="L31">
        <v>14</v>
      </c>
      <c r="M31">
        <v>0</v>
      </c>
      <c r="N31" t="s">
        <v>17</v>
      </c>
      <c r="O31">
        <v>74.010000000000005</v>
      </c>
      <c r="P31">
        <v>331.23</v>
      </c>
      <c r="Q31">
        <v>1</v>
      </c>
    </row>
    <row r="32" spans="1:17" x14ac:dyDescent="0.25">
      <c r="A32" t="str">
        <f t="shared" si="0"/>
        <v>0_5.5_14</v>
      </c>
      <c r="B32" s="1">
        <v>0</v>
      </c>
      <c r="C32">
        <v>1.44</v>
      </c>
      <c r="D32">
        <v>4159</v>
      </c>
      <c r="E32">
        <v>0.78</v>
      </c>
      <c r="F32">
        <v>2.06</v>
      </c>
      <c r="G32">
        <v>2.06</v>
      </c>
      <c r="H32">
        <v>2.96</v>
      </c>
      <c r="I32">
        <v>2.96</v>
      </c>
      <c r="J32">
        <v>5.5</v>
      </c>
      <c r="K32">
        <v>9350.2099999999991</v>
      </c>
      <c r="L32">
        <v>14</v>
      </c>
      <c r="M32">
        <v>2.54</v>
      </c>
      <c r="N32" t="s">
        <v>16</v>
      </c>
      <c r="O32">
        <v>99.97</v>
      </c>
      <c r="P32">
        <v>468.55</v>
      </c>
      <c r="Q32">
        <v>1</v>
      </c>
    </row>
    <row r="33" spans="1:17" x14ac:dyDescent="0.25">
      <c r="A33" t="str">
        <f t="shared" si="0"/>
        <v>1_5.5_14</v>
      </c>
      <c r="B33" s="1">
        <v>1</v>
      </c>
      <c r="C33">
        <v>1.9</v>
      </c>
      <c r="D33">
        <v>5358</v>
      </c>
      <c r="E33">
        <v>1.01</v>
      </c>
      <c r="F33">
        <v>2.9</v>
      </c>
      <c r="G33">
        <v>2.9</v>
      </c>
      <c r="H33">
        <v>5.5</v>
      </c>
      <c r="I33">
        <v>5.5</v>
      </c>
      <c r="J33">
        <v>5.5</v>
      </c>
      <c r="K33">
        <v>16000</v>
      </c>
      <c r="L33">
        <v>14</v>
      </c>
      <c r="M33">
        <v>0</v>
      </c>
      <c r="N33" t="s">
        <v>17</v>
      </c>
      <c r="O33">
        <v>72.569999999999993</v>
      </c>
      <c r="P33">
        <v>326.31</v>
      </c>
      <c r="Q33">
        <v>1</v>
      </c>
    </row>
    <row r="34" spans="1:17" x14ac:dyDescent="0.25">
      <c r="A34" t="str">
        <f t="shared" si="0"/>
        <v>0_5.6_14</v>
      </c>
      <c r="B34" s="1">
        <v>0</v>
      </c>
      <c r="C34">
        <v>1.4</v>
      </c>
      <c r="D34">
        <v>3977</v>
      </c>
      <c r="E34">
        <v>0.75</v>
      </c>
      <c r="F34">
        <v>2.15</v>
      </c>
      <c r="G34">
        <v>2.15</v>
      </c>
      <c r="H34">
        <v>3</v>
      </c>
      <c r="I34">
        <v>3</v>
      </c>
      <c r="J34">
        <v>5.6</v>
      </c>
      <c r="K34">
        <v>8548.24</v>
      </c>
      <c r="L34">
        <v>14</v>
      </c>
      <c r="M34">
        <v>2.6</v>
      </c>
      <c r="N34" t="s">
        <v>16</v>
      </c>
      <c r="O34">
        <v>100</v>
      </c>
      <c r="P34">
        <v>448.13</v>
      </c>
      <c r="Q34">
        <v>1</v>
      </c>
    </row>
    <row r="35" spans="1:17" x14ac:dyDescent="0.25">
      <c r="A35" t="str">
        <f t="shared" si="0"/>
        <v>1_5.6_14</v>
      </c>
      <c r="B35" s="1">
        <v>1</v>
      </c>
      <c r="C35">
        <v>1.9</v>
      </c>
      <c r="D35">
        <v>5333</v>
      </c>
      <c r="E35">
        <v>1.01</v>
      </c>
      <c r="F35">
        <v>2.94</v>
      </c>
      <c r="G35">
        <v>2.94</v>
      </c>
      <c r="H35">
        <v>5.6</v>
      </c>
      <c r="I35">
        <v>5.6</v>
      </c>
      <c r="J35">
        <v>5.6</v>
      </c>
      <c r="K35">
        <v>16000</v>
      </c>
      <c r="L35">
        <v>14</v>
      </c>
      <c r="M35">
        <v>0</v>
      </c>
      <c r="N35" t="s">
        <v>17</v>
      </c>
      <c r="O35">
        <v>71.150000000000006</v>
      </c>
      <c r="P35">
        <v>321.5</v>
      </c>
      <c r="Q35">
        <v>1</v>
      </c>
    </row>
    <row r="36" spans="1:17" x14ac:dyDescent="0.25">
      <c r="A36" t="str">
        <f t="shared" si="0"/>
        <v>0_5.7_14</v>
      </c>
      <c r="B36" s="1">
        <v>0</v>
      </c>
      <c r="C36">
        <v>1.37</v>
      </c>
      <c r="D36">
        <v>3829</v>
      </c>
      <c r="E36">
        <v>0.72</v>
      </c>
      <c r="F36">
        <v>2.23</v>
      </c>
      <c r="G36">
        <v>2.23</v>
      </c>
      <c r="H36">
        <v>3.04</v>
      </c>
      <c r="I36">
        <v>3.04</v>
      </c>
      <c r="J36">
        <v>5.7</v>
      </c>
      <c r="K36">
        <v>7923.07</v>
      </c>
      <c r="L36">
        <v>14</v>
      </c>
      <c r="M36">
        <v>2.66</v>
      </c>
      <c r="N36" t="s">
        <v>16</v>
      </c>
      <c r="O36">
        <v>99.99</v>
      </c>
      <c r="P36">
        <v>431.41</v>
      </c>
      <c r="Q36">
        <v>1</v>
      </c>
    </row>
    <row r="37" spans="1:17" x14ac:dyDescent="0.25">
      <c r="A37" t="str">
        <f t="shared" si="0"/>
        <v>1_5.7_14</v>
      </c>
      <c r="B37" s="1">
        <v>1</v>
      </c>
      <c r="C37">
        <v>1.91</v>
      </c>
      <c r="D37">
        <v>5309</v>
      </c>
      <c r="E37">
        <v>1</v>
      </c>
      <c r="F37">
        <v>2.98</v>
      </c>
      <c r="G37">
        <v>2.98</v>
      </c>
      <c r="H37">
        <v>5.7</v>
      </c>
      <c r="I37">
        <v>5.7</v>
      </c>
      <c r="J37">
        <v>5.7</v>
      </c>
      <c r="K37">
        <v>16000</v>
      </c>
      <c r="L37">
        <v>14</v>
      </c>
      <c r="M37">
        <v>0</v>
      </c>
      <c r="N37" t="s">
        <v>17</v>
      </c>
      <c r="O37">
        <v>69.75</v>
      </c>
      <c r="P37">
        <v>316.81</v>
      </c>
      <c r="Q37">
        <v>1</v>
      </c>
    </row>
    <row r="38" spans="1:17" x14ac:dyDescent="0.25">
      <c r="A38" t="str">
        <f t="shared" si="0"/>
        <v>0_5.8_14</v>
      </c>
      <c r="B38" s="1">
        <v>0</v>
      </c>
      <c r="C38">
        <v>1.34</v>
      </c>
      <c r="D38">
        <v>3699</v>
      </c>
      <c r="E38">
        <v>0.7</v>
      </c>
      <c r="F38">
        <v>2.2999999999999998</v>
      </c>
      <c r="G38">
        <v>2.2999999999999998</v>
      </c>
      <c r="H38">
        <v>3.08</v>
      </c>
      <c r="I38">
        <v>3.08</v>
      </c>
      <c r="J38">
        <v>5.8</v>
      </c>
      <c r="K38">
        <v>7395.05</v>
      </c>
      <c r="L38">
        <v>14</v>
      </c>
      <c r="M38">
        <v>2.72</v>
      </c>
      <c r="N38" t="s">
        <v>16</v>
      </c>
      <c r="O38">
        <v>100</v>
      </c>
      <c r="P38">
        <v>416.81</v>
      </c>
      <c r="Q38">
        <v>1</v>
      </c>
    </row>
    <row r="39" spans="1:17" x14ac:dyDescent="0.25">
      <c r="A39" t="str">
        <f t="shared" si="0"/>
        <v>1_5.8_14</v>
      </c>
      <c r="B39" s="1">
        <v>1</v>
      </c>
      <c r="C39">
        <v>1.92</v>
      </c>
      <c r="D39">
        <v>5286</v>
      </c>
      <c r="E39">
        <v>1</v>
      </c>
      <c r="F39">
        <v>3.02</v>
      </c>
      <c r="G39">
        <v>3.02</v>
      </c>
      <c r="H39">
        <v>5.8</v>
      </c>
      <c r="I39">
        <v>5.8</v>
      </c>
      <c r="J39">
        <v>5.8</v>
      </c>
      <c r="K39">
        <v>16000</v>
      </c>
      <c r="L39">
        <v>14</v>
      </c>
      <c r="M39">
        <v>0</v>
      </c>
      <c r="N39" t="s">
        <v>17</v>
      </c>
      <c r="O39">
        <v>68.37</v>
      </c>
      <c r="P39">
        <v>312.20999999999998</v>
      </c>
      <c r="Q39">
        <v>1</v>
      </c>
    </row>
    <row r="40" spans="1:17" x14ac:dyDescent="0.25">
      <c r="A40" t="str">
        <f t="shared" si="0"/>
        <v>0_5.9_14</v>
      </c>
      <c r="B40" s="1">
        <v>0</v>
      </c>
      <c r="C40">
        <v>1.32</v>
      </c>
      <c r="D40">
        <v>3598</v>
      </c>
      <c r="E40">
        <v>0.68</v>
      </c>
      <c r="F40">
        <v>2.36</v>
      </c>
      <c r="G40">
        <v>2.36</v>
      </c>
      <c r="H40">
        <v>3.12</v>
      </c>
      <c r="I40">
        <v>3.12</v>
      </c>
      <c r="J40">
        <v>5.9</v>
      </c>
      <c r="K40">
        <v>7000.34</v>
      </c>
      <c r="L40">
        <v>14</v>
      </c>
      <c r="M40">
        <v>2.78</v>
      </c>
      <c r="N40" t="s">
        <v>16</v>
      </c>
      <c r="O40">
        <v>99.82</v>
      </c>
      <c r="P40">
        <v>404.86</v>
      </c>
      <c r="Q40">
        <v>1</v>
      </c>
    </row>
    <row r="41" spans="1:17" x14ac:dyDescent="0.25">
      <c r="A41" t="str">
        <f t="shared" si="0"/>
        <v>1_5.9_14</v>
      </c>
      <c r="B41" s="1">
        <v>1</v>
      </c>
      <c r="C41">
        <v>1.93</v>
      </c>
      <c r="D41">
        <v>5263</v>
      </c>
      <c r="E41">
        <v>0.99</v>
      </c>
      <c r="F41">
        <v>3.06</v>
      </c>
      <c r="G41">
        <v>3.06</v>
      </c>
      <c r="H41">
        <v>5.9</v>
      </c>
      <c r="I41">
        <v>5.9</v>
      </c>
      <c r="J41">
        <v>5.9</v>
      </c>
      <c r="K41">
        <v>16000</v>
      </c>
      <c r="L41">
        <v>14</v>
      </c>
      <c r="M41">
        <v>0</v>
      </c>
      <c r="N41" t="s">
        <v>17</v>
      </c>
      <c r="O41">
        <v>67</v>
      </c>
      <c r="P41">
        <v>307.70999999999998</v>
      </c>
      <c r="Q41">
        <v>1</v>
      </c>
    </row>
    <row r="42" spans="1:17" x14ac:dyDescent="0.25">
      <c r="A42" t="str">
        <f t="shared" si="0"/>
        <v>0_5_18</v>
      </c>
      <c r="B42" s="1">
        <v>0</v>
      </c>
      <c r="C42">
        <v>1.61</v>
      </c>
      <c r="D42">
        <v>4799</v>
      </c>
      <c r="E42">
        <v>0.91</v>
      </c>
      <c r="F42">
        <v>2.2799999999999998</v>
      </c>
      <c r="G42">
        <v>2.2799999999999998</v>
      </c>
      <c r="H42">
        <v>3.68</v>
      </c>
      <c r="I42">
        <v>3.68</v>
      </c>
      <c r="J42">
        <v>5</v>
      </c>
      <c r="K42">
        <v>16000</v>
      </c>
      <c r="L42">
        <v>18</v>
      </c>
      <c r="M42">
        <v>1.32</v>
      </c>
      <c r="N42" t="s">
        <v>16</v>
      </c>
      <c r="O42">
        <v>100</v>
      </c>
      <c r="P42">
        <v>540.69000000000005</v>
      </c>
      <c r="Q42">
        <v>1</v>
      </c>
    </row>
    <row r="43" spans="1:17" x14ac:dyDescent="0.25">
      <c r="A43" t="str">
        <f t="shared" si="0"/>
        <v>1_5_18</v>
      </c>
      <c r="B43" s="1">
        <v>1</v>
      </c>
      <c r="C43">
        <v>1.61</v>
      </c>
      <c r="D43">
        <v>4940</v>
      </c>
      <c r="E43">
        <v>0.93</v>
      </c>
      <c r="F43">
        <v>3.62</v>
      </c>
      <c r="G43">
        <v>3.62</v>
      </c>
      <c r="H43">
        <v>5.8</v>
      </c>
      <c r="I43">
        <v>5.8</v>
      </c>
      <c r="J43">
        <v>5</v>
      </c>
      <c r="K43">
        <v>15831.74</v>
      </c>
      <c r="L43">
        <v>18</v>
      </c>
      <c r="M43">
        <v>0.8</v>
      </c>
      <c r="N43" t="s">
        <v>17</v>
      </c>
      <c r="O43">
        <v>86.77</v>
      </c>
      <c r="P43">
        <v>331.43</v>
      </c>
      <c r="Q43">
        <v>1</v>
      </c>
    </row>
    <row r="44" spans="1:17" x14ac:dyDescent="0.25">
      <c r="A44" t="str">
        <f t="shared" si="0"/>
        <v>0_5.1_18</v>
      </c>
      <c r="B44" s="1">
        <v>0</v>
      </c>
      <c r="C44">
        <v>1.33</v>
      </c>
      <c r="D44">
        <v>3626</v>
      </c>
      <c r="E44">
        <v>0.68</v>
      </c>
      <c r="F44">
        <v>2.97</v>
      </c>
      <c r="G44">
        <v>2.97</v>
      </c>
      <c r="H44">
        <v>3.96</v>
      </c>
      <c r="I44">
        <v>3.96</v>
      </c>
      <c r="J44">
        <v>5.0999999999999996</v>
      </c>
      <c r="K44">
        <v>9133.51</v>
      </c>
      <c r="L44">
        <v>18</v>
      </c>
      <c r="M44">
        <v>1.1399999999999999</v>
      </c>
      <c r="N44" t="s">
        <v>16</v>
      </c>
      <c r="O44">
        <v>100</v>
      </c>
      <c r="P44">
        <v>408.52</v>
      </c>
      <c r="Q44">
        <v>1</v>
      </c>
    </row>
    <row r="45" spans="1:17" x14ac:dyDescent="0.25">
      <c r="A45" t="str">
        <f t="shared" si="0"/>
        <v>1_5.1_18</v>
      </c>
      <c r="B45" s="1">
        <v>1</v>
      </c>
      <c r="C45">
        <v>1.65</v>
      </c>
      <c r="D45">
        <v>4818</v>
      </c>
      <c r="E45">
        <v>0.91</v>
      </c>
      <c r="F45">
        <v>3.9</v>
      </c>
      <c r="G45">
        <v>3.9</v>
      </c>
      <c r="H45">
        <v>6.44</v>
      </c>
      <c r="I45">
        <v>6.44</v>
      </c>
      <c r="J45">
        <v>5.0999999999999996</v>
      </c>
      <c r="K45">
        <v>16000</v>
      </c>
      <c r="L45">
        <v>18</v>
      </c>
      <c r="M45">
        <v>1.34</v>
      </c>
      <c r="N45" t="s">
        <v>17</v>
      </c>
      <c r="O45">
        <v>78.349999999999994</v>
      </c>
      <c r="P45">
        <v>305.52999999999997</v>
      </c>
      <c r="Q45">
        <v>1</v>
      </c>
    </row>
    <row r="46" spans="1:17" x14ac:dyDescent="0.25">
      <c r="A46" t="str">
        <f t="shared" si="0"/>
        <v>0_5.2_18</v>
      </c>
      <c r="B46" s="1">
        <v>0</v>
      </c>
      <c r="C46">
        <v>1.61</v>
      </c>
      <c r="D46">
        <v>4799</v>
      </c>
      <c r="E46">
        <v>0.91</v>
      </c>
      <c r="F46">
        <v>2.2799999999999998</v>
      </c>
      <c r="G46">
        <v>2.2799999999999998</v>
      </c>
      <c r="H46">
        <v>3.68</v>
      </c>
      <c r="I46">
        <v>3.68</v>
      </c>
      <c r="J46">
        <v>5.2</v>
      </c>
      <c r="K46">
        <v>16000</v>
      </c>
      <c r="L46">
        <v>18</v>
      </c>
      <c r="M46">
        <v>1.52</v>
      </c>
      <c r="N46" t="s">
        <v>16</v>
      </c>
      <c r="O46">
        <v>100</v>
      </c>
      <c r="P46">
        <v>540.69000000000005</v>
      </c>
      <c r="Q46">
        <v>1</v>
      </c>
    </row>
    <row r="47" spans="1:17" x14ac:dyDescent="0.25">
      <c r="A47" t="str">
        <f t="shared" si="0"/>
        <v>1_5.2_18</v>
      </c>
      <c r="B47" s="1">
        <v>1</v>
      </c>
      <c r="C47">
        <v>1.57</v>
      </c>
      <c r="D47">
        <v>4887</v>
      </c>
      <c r="E47">
        <v>0.92</v>
      </c>
      <c r="F47">
        <v>3.62</v>
      </c>
      <c r="G47">
        <v>3.62</v>
      </c>
      <c r="H47">
        <v>5.69</v>
      </c>
      <c r="I47">
        <v>5.69</v>
      </c>
      <c r="J47">
        <v>5.2</v>
      </c>
      <c r="K47">
        <v>15303.29</v>
      </c>
      <c r="L47">
        <v>18</v>
      </c>
      <c r="M47">
        <v>0.49</v>
      </c>
      <c r="N47" t="s">
        <v>17</v>
      </c>
      <c r="O47">
        <v>88.43</v>
      </c>
      <c r="P47">
        <v>331.43</v>
      </c>
      <c r="Q47">
        <v>1</v>
      </c>
    </row>
    <row r="48" spans="1:17" x14ac:dyDescent="0.25">
      <c r="A48" t="str">
        <f t="shared" si="0"/>
        <v>0_5.3_18</v>
      </c>
      <c r="B48" s="1">
        <v>0</v>
      </c>
      <c r="C48">
        <v>1.31</v>
      </c>
      <c r="D48">
        <v>3511</v>
      </c>
      <c r="E48">
        <v>0.66</v>
      </c>
      <c r="F48">
        <v>3.07</v>
      </c>
      <c r="G48">
        <v>3.07</v>
      </c>
      <c r="H48">
        <v>4.01</v>
      </c>
      <c r="I48">
        <v>4.01</v>
      </c>
      <c r="J48">
        <v>5.3</v>
      </c>
      <c r="K48">
        <v>8563.89</v>
      </c>
      <c r="L48">
        <v>18</v>
      </c>
      <c r="M48">
        <v>1.29</v>
      </c>
      <c r="N48" t="s">
        <v>16</v>
      </c>
      <c r="O48">
        <v>100</v>
      </c>
      <c r="P48">
        <v>395.57</v>
      </c>
      <c r="Q48">
        <v>1</v>
      </c>
    </row>
    <row r="49" spans="1:17" x14ac:dyDescent="0.25">
      <c r="A49" t="str">
        <f t="shared" si="0"/>
        <v>1_5.3_18</v>
      </c>
      <c r="B49" s="1">
        <v>1</v>
      </c>
      <c r="C49">
        <v>1.66</v>
      </c>
      <c r="D49">
        <v>4794</v>
      </c>
      <c r="E49">
        <v>0.9</v>
      </c>
      <c r="F49">
        <v>3.95</v>
      </c>
      <c r="G49">
        <v>3.95</v>
      </c>
      <c r="H49">
        <v>6.56</v>
      </c>
      <c r="I49">
        <v>6.56</v>
      </c>
      <c r="J49">
        <v>5.3</v>
      </c>
      <c r="K49">
        <v>16000</v>
      </c>
      <c r="L49">
        <v>18</v>
      </c>
      <c r="M49">
        <v>1.26</v>
      </c>
      <c r="N49" t="s">
        <v>17</v>
      </c>
      <c r="O49">
        <v>76.88</v>
      </c>
      <c r="P49">
        <v>300.95999999999998</v>
      </c>
      <c r="Q49">
        <v>1</v>
      </c>
    </row>
    <row r="50" spans="1:17" x14ac:dyDescent="0.25">
      <c r="A50" t="str">
        <f t="shared" si="0"/>
        <v>0_5.4_18</v>
      </c>
      <c r="B50" s="1">
        <v>0</v>
      </c>
      <c r="C50">
        <v>1.61</v>
      </c>
      <c r="D50">
        <v>4799</v>
      </c>
      <c r="E50">
        <v>0.91</v>
      </c>
      <c r="F50">
        <v>2.2799999999999998</v>
      </c>
      <c r="G50">
        <v>2.2799999999999998</v>
      </c>
      <c r="H50">
        <v>3.68</v>
      </c>
      <c r="I50">
        <v>3.68</v>
      </c>
      <c r="J50">
        <v>5.4</v>
      </c>
      <c r="K50">
        <v>16000</v>
      </c>
      <c r="L50">
        <v>18</v>
      </c>
      <c r="M50">
        <v>1.72</v>
      </c>
      <c r="N50" t="s">
        <v>16</v>
      </c>
      <c r="O50">
        <v>100</v>
      </c>
      <c r="P50">
        <v>540.69000000000005</v>
      </c>
      <c r="Q50">
        <v>1</v>
      </c>
    </row>
    <row r="51" spans="1:17" x14ac:dyDescent="0.25">
      <c r="A51" t="str">
        <f t="shared" si="0"/>
        <v>1_5.4_18</v>
      </c>
      <c r="B51" s="1">
        <v>1</v>
      </c>
      <c r="C51">
        <v>1.49</v>
      </c>
      <c r="D51">
        <v>4739</v>
      </c>
      <c r="E51">
        <v>0.89</v>
      </c>
      <c r="F51">
        <v>3.62</v>
      </c>
      <c r="G51">
        <v>3.62</v>
      </c>
      <c r="H51">
        <v>5.4</v>
      </c>
      <c r="I51">
        <v>5.4</v>
      </c>
      <c r="J51">
        <v>5.4</v>
      </c>
      <c r="K51">
        <v>13836.01</v>
      </c>
      <c r="L51">
        <v>18</v>
      </c>
      <c r="M51">
        <v>0</v>
      </c>
      <c r="N51" t="s">
        <v>17</v>
      </c>
      <c r="O51">
        <v>93.31</v>
      </c>
      <c r="P51">
        <v>331.43</v>
      </c>
      <c r="Q51">
        <v>1</v>
      </c>
    </row>
    <row r="52" spans="1:17" x14ac:dyDescent="0.25">
      <c r="A52" t="str">
        <f t="shared" si="0"/>
        <v>0_5.5_18</v>
      </c>
      <c r="B52" s="1">
        <v>0</v>
      </c>
      <c r="C52">
        <v>1.32</v>
      </c>
      <c r="D52">
        <v>3586</v>
      </c>
      <c r="E52">
        <v>0.68</v>
      </c>
      <c r="F52">
        <v>3</v>
      </c>
      <c r="G52">
        <v>3</v>
      </c>
      <c r="H52">
        <v>3.98</v>
      </c>
      <c r="I52">
        <v>3.98</v>
      </c>
      <c r="J52">
        <v>5.5</v>
      </c>
      <c r="K52">
        <v>8936.98</v>
      </c>
      <c r="L52">
        <v>18</v>
      </c>
      <c r="M52">
        <v>1.52</v>
      </c>
      <c r="N52" t="s">
        <v>16</v>
      </c>
      <c r="O52">
        <v>100</v>
      </c>
      <c r="P52">
        <v>404.1</v>
      </c>
      <c r="Q52">
        <v>1</v>
      </c>
    </row>
    <row r="53" spans="1:17" x14ac:dyDescent="0.25">
      <c r="A53" t="str">
        <f t="shared" si="0"/>
        <v>1_5.5_18</v>
      </c>
      <c r="B53" s="1">
        <v>1</v>
      </c>
      <c r="C53">
        <v>1.4</v>
      </c>
      <c r="D53">
        <v>4338</v>
      </c>
      <c r="E53">
        <v>0.82</v>
      </c>
      <c r="F53">
        <v>3.92</v>
      </c>
      <c r="G53">
        <v>3.92</v>
      </c>
      <c r="H53">
        <v>5.5</v>
      </c>
      <c r="I53">
        <v>5.5</v>
      </c>
      <c r="J53">
        <v>5.5</v>
      </c>
      <c r="K53">
        <v>11561.42</v>
      </c>
      <c r="L53">
        <v>18</v>
      </c>
      <c r="M53">
        <v>0</v>
      </c>
      <c r="N53" t="s">
        <v>17</v>
      </c>
      <c r="O53">
        <v>93.64</v>
      </c>
      <c r="P53">
        <v>304.01</v>
      </c>
      <c r="Q53">
        <v>1</v>
      </c>
    </row>
    <row r="54" spans="1:17" x14ac:dyDescent="0.25">
      <c r="A54" t="str">
        <f t="shared" si="0"/>
        <v>0_5.6_18</v>
      </c>
      <c r="B54" s="1">
        <v>0</v>
      </c>
      <c r="C54">
        <v>1.3</v>
      </c>
      <c r="D54">
        <v>3451</v>
      </c>
      <c r="E54">
        <v>0.65</v>
      </c>
      <c r="F54">
        <v>3.12</v>
      </c>
      <c r="G54">
        <v>3.12</v>
      </c>
      <c r="H54">
        <v>4.04</v>
      </c>
      <c r="I54">
        <v>4.04</v>
      </c>
      <c r="J54">
        <v>5.6</v>
      </c>
      <c r="K54">
        <v>8273.5499999999993</v>
      </c>
      <c r="L54">
        <v>18</v>
      </c>
      <c r="M54">
        <v>1.56</v>
      </c>
      <c r="N54" t="s">
        <v>16</v>
      </c>
      <c r="O54">
        <v>100</v>
      </c>
      <c r="P54">
        <v>388.81</v>
      </c>
      <c r="Q54">
        <v>1</v>
      </c>
    </row>
    <row r="55" spans="1:17" x14ac:dyDescent="0.25">
      <c r="A55" t="str">
        <f t="shared" si="0"/>
        <v>1_5.6_18</v>
      </c>
      <c r="B55" s="1">
        <v>1</v>
      </c>
      <c r="C55">
        <v>1.41</v>
      </c>
      <c r="D55">
        <v>4296</v>
      </c>
      <c r="E55">
        <v>0.81</v>
      </c>
      <c r="F55">
        <v>3.98</v>
      </c>
      <c r="G55">
        <v>3.98</v>
      </c>
      <c r="H55">
        <v>5.6</v>
      </c>
      <c r="I55">
        <v>5.6</v>
      </c>
      <c r="J55">
        <v>5.6</v>
      </c>
      <c r="K55">
        <v>11471.98</v>
      </c>
      <c r="L55">
        <v>18</v>
      </c>
      <c r="M55">
        <v>0</v>
      </c>
      <c r="N55" t="s">
        <v>17</v>
      </c>
      <c r="O55">
        <v>92.22</v>
      </c>
      <c r="P55">
        <v>298.41000000000003</v>
      </c>
      <c r="Q55">
        <v>1</v>
      </c>
    </row>
    <row r="56" spans="1:17" x14ac:dyDescent="0.25">
      <c r="A56" t="str">
        <f t="shared" si="0"/>
        <v>0_5.7_18</v>
      </c>
      <c r="B56" s="1">
        <v>0</v>
      </c>
      <c r="C56">
        <v>1.66</v>
      </c>
      <c r="D56">
        <v>3714</v>
      </c>
      <c r="E56">
        <v>0.7</v>
      </c>
      <c r="F56">
        <v>2.17</v>
      </c>
      <c r="G56">
        <v>2.17</v>
      </c>
      <c r="H56">
        <v>3.61</v>
      </c>
      <c r="I56">
        <v>3.61</v>
      </c>
      <c r="J56">
        <v>5.7</v>
      </c>
      <c r="K56">
        <v>7000</v>
      </c>
      <c r="L56">
        <v>18</v>
      </c>
      <c r="M56">
        <v>2.09</v>
      </c>
      <c r="N56" t="s">
        <v>16</v>
      </c>
      <c r="O56">
        <v>52.7</v>
      </c>
      <c r="P56">
        <v>284.70999999999998</v>
      </c>
      <c r="Q56">
        <v>2</v>
      </c>
    </row>
    <row r="57" spans="1:17" x14ac:dyDescent="0.25">
      <c r="A57" t="str">
        <f t="shared" si="0"/>
        <v>1_5.7_18</v>
      </c>
      <c r="B57" s="1">
        <v>1</v>
      </c>
      <c r="C57">
        <v>1.61</v>
      </c>
      <c r="D57">
        <v>4993</v>
      </c>
      <c r="E57">
        <v>0.94</v>
      </c>
      <c r="F57">
        <v>3.55</v>
      </c>
      <c r="G57">
        <v>3.55</v>
      </c>
      <c r="H57">
        <v>5.7</v>
      </c>
      <c r="I57">
        <v>5.7</v>
      </c>
      <c r="J57">
        <v>5.7</v>
      </c>
      <c r="K57">
        <v>16000</v>
      </c>
      <c r="L57">
        <v>18</v>
      </c>
      <c r="M57">
        <v>0</v>
      </c>
      <c r="N57" t="s">
        <v>17</v>
      </c>
      <c r="O57">
        <v>88.18</v>
      </c>
      <c r="P57">
        <v>338.03</v>
      </c>
      <c r="Q57">
        <v>1</v>
      </c>
    </row>
    <row r="58" spans="1:17" x14ac:dyDescent="0.25">
      <c r="A58" t="str">
        <f t="shared" si="0"/>
        <v>0_5.8_18</v>
      </c>
      <c r="B58" s="1">
        <v>0</v>
      </c>
      <c r="C58">
        <v>1.35</v>
      </c>
      <c r="D58">
        <v>3721</v>
      </c>
      <c r="E58">
        <v>0.7</v>
      </c>
      <c r="F58">
        <v>2.9</v>
      </c>
      <c r="G58">
        <v>2.9</v>
      </c>
      <c r="H58">
        <v>3.92</v>
      </c>
      <c r="I58">
        <v>3.92</v>
      </c>
      <c r="J58">
        <v>5.8</v>
      </c>
      <c r="K58">
        <v>9619.98</v>
      </c>
      <c r="L58">
        <v>18</v>
      </c>
      <c r="M58">
        <v>1.88</v>
      </c>
      <c r="N58" t="s">
        <v>16</v>
      </c>
      <c r="O58">
        <v>100</v>
      </c>
      <c r="P58">
        <v>419.26</v>
      </c>
      <c r="Q58">
        <v>1</v>
      </c>
    </row>
    <row r="59" spans="1:17" x14ac:dyDescent="0.25">
      <c r="A59" t="str">
        <f t="shared" si="0"/>
        <v>1_5.8_18</v>
      </c>
      <c r="B59" s="1">
        <v>1</v>
      </c>
      <c r="C59">
        <v>2</v>
      </c>
      <c r="D59">
        <v>4668</v>
      </c>
      <c r="E59">
        <v>0.88</v>
      </c>
      <c r="F59">
        <v>3.86</v>
      </c>
      <c r="G59">
        <v>3.86</v>
      </c>
      <c r="H59">
        <v>7.7</v>
      </c>
      <c r="I59">
        <v>7.7</v>
      </c>
      <c r="J59">
        <v>5.8</v>
      </c>
      <c r="K59">
        <v>10996.29</v>
      </c>
      <c r="L59">
        <v>18</v>
      </c>
      <c r="M59">
        <v>1.9</v>
      </c>
      <c r="N59" t="s">
        <v>17</v>
      </c>
      <c r="O59">
        <v>8.81</v>
      </c>
      <c r="P59">
        <v>154.52000000000001</v>
      </c>
      <c r="Q59">
        <v>2</v>
      </c>
    </row>
    <row r="60" spans="1:17" x14ac:dyDescent="0.25">
      <c r="A60" t="str">
        <f t="shared" si="0"/>
        <v>0_5.9_18</v>
      </c>
      <c r="B60" s="1">
        <v>0</v>
      </c>
      <c r="C60">
        <v>1.51</v>
      </c>
      <c r="D60">
        <v>4409</v>
      </c>
      <c r="E60">
        <v>0.83</v>
      </c>
      <c r="F60">
        <v>2.4700000000000002</v>
      </c>
      <c r="G60">
        <v>2.4700000000000002</v>
      </c>
      <c r="H60">
        <v>3.72</v>
      </c>
      <c r="I60">
        <v>3.72</v>
      </c>
      <c r="J60">
        <v>5.9</v>
      </c>
      <c r="K60">
        <v>13506.32</v>
      </c>
      <c r="L60">
        <v>18</v>
      </c>
      <c r="M60">
        <v>2.1800000000000002</v>
      </c>
      <c r="N60" t="s">
        <v>16</v>
      </c>
      <c r="O60">
        <v>100</v>
      </c>
      <c r="P60">
        <v>496.78</v>
      </c>
      <c r="Q60">
        <v>1</v>
      </c>
    </row>
    <row r="61" spans="1:17" x14ac:dyDescent="0.25">
      <c r="A61" t="str">
        <f t="shared" si="0"/>
        <v>1_5.9_18</v>
      </c>
      <c r="B61" s="1">
        <v>1</v>
      </c>
      <c r="C61">
        <v>1.61</v>
      </c>
      <c r="D61">
        <v>3896</v>
      </c>
      <c r="E61">
        <v>0.74</v>
      </c>
      <c r="F61">
        <v>3.66</v>
      </c>
      <c r="G61">
        <v>3.66</v>
      </c>
      <c r="H61">
        <v>5.9</v>
      </c>
      <c r="I61">
        <v>5.9</v>
      </c>
      <c r="J61">
        <v>5.9</v>
      </c>
      <c r="K61">
        <v>7016.8</v>
      </c>
      <c r="L61">
        <v>18</v>
      </c>
      <c r="M61">
        <v>0</v>
      </c>
      <c r="N61" t="s">
        <v>17</v>
      </c>
      <c r="O61">
        <v>29.11</v>
      </c>
      <c r="P61">
        <v>163.41999999999999</v>
      </c>
      <c r="Q61">
        <v>2</v>
      </c>
    </row>
    <row r="62" spans="1:17" x14ac:dyDescent="0.25">
      <c r="A62" t="str">
        <f t="shared" si="0"/>
        <v>0_5_22</v>
      </c>
      <c r="B62" s="1">
        <v>0</v>
      </c>
      <c r="C62">
        <v>1.47</v>
      </c>
      <c r="D62">
        <v>4222</v>
      </c>
      <c r="E62">
        <v>0.8</v>
      </c>
      <c r="F62">
        <v>3.11</v>
      </c>
      <c r="G62">
        <v>3.11</v>
      </c>
      <c r="H62">
        <v>4.5599999999999996</v>
      </c>
      <c r="I62">
        <v>4.5599999999999996</v>
      </c>
      <c r="J62">
        <v>5</v>
      </c>
      <c r="K62">
        <v>15140.99</v>
      </c>
      <c r="L62">
        <v>22</v>
      </c>
      <c r="M62">
        <v>0.44</v>
      </c>
      <c r="N62" t="s">
        <v>16</v>
      </c>
      <c r="O62">
        <v>100</v>
      </c>
      <c r="P62">
        <v>475.77</v>
      </c>
      <c r="Q62">
        <v>1</v>
      </c>
    </row>
    <row r="63" spans="1:17" x14ac:dyDescent="0.25">
      <c r="A63" t="str">
        <f t="shared" si="0"/>
        <v>1_5_22</v>
      </c>
      <c r="B63" s="1">
        <v>1</v>
      </c>
      <c r="C63">
        <v>1.47</v>
      </c>
      <c r="D63">
        <v>4591</v>
      </c>
      <c r="E63">
        <v>0.87</v>
      </c>
      <c r="F63">
        <v>4.5</v>
      </c>
      <c r="G63">
        <v>4.5</v>
      </c>
      <c r="H63">
        <v>6.64</v>
      </c>
      <c r="I63">
        <v>6.64</v>
      </c>
      <c r="J63">
        <v>5</v>
      </c>
      <c r="K63">
        <v>16000</v>
      </c>
      <c r="L63">
        <v>22</v>
      </c>
      <c r="M63">
        <v>1.64</v>
      </c>
      <c r="N63" t="s">
        <v>17</v>
      </c>
      <c r="O63">
        <v>92.35</v>
      </c>
      <c r="P63">
        <v>319.2</v>
      </c>
      <c r="Q63">
        <v>1</v>
      </c>
    </row>
    <row r="64" spans="1:17" x14ac:dyDescent="0.25">
      <c r="A64" t="str">
        <f t="shared" si="0"/>
        <v>0_5.1_22</v>
      </c>
      <c r="B64" s="1">
        <v>0</v>
      </c>
      <c r="C64">
        <v>1.28</v>
      </c>
      <c r="D64">
        <v>3352</v>
      </c>
      <c r="E64">
        <v>0.63</v>
      </c>
      <c r="F64">
        <v>3.86</v>
      </c>
      <c r="G64">
        <v>3.86</v>
      </c>
      <c r="H64">
        <v>4.95</v>
      </c>
      <c r="I64">
        <v>4.95</v>
      </c>
      <c r="J64">
        <v>5.0999999999999996</v>
      </c>
      <c r="K64">
        <v>9542.98</v>
      </c>
      <c r="L64">
        <v>22</v>
      </c>
      <c r="M64">
        <v>0.15</v>
      </c>
      <c r="N64" t="s">
        <v>16</v>
      </c>
      <c r="O64">
        <v>100</v>
      </c>
      <c r="P64">
        <v>377.71</v>
      </c>
      <c r="Q64">
        <v>1</v>
      </c>
    </row>
    <row r="65" spans="1:17" x14ac:dyDescent="0.25">
      <c r="A65" t="str">
        <f t="shared" si="0"/>
        <v>1_5.1_22</v>
      </c>
      <c r="B65" s="1">
        <v>1</v>
      </c>
      <c r="C65">
        <v>1.31</v>
      </c>
      <c r="D65">
        <v>3994</v>
      </c>
      <c r="E65">
        <v>0.75</v>
      </c>
      <c r="F65">
        <v>4.8899999999999997</v>
      </c>
      <c r="G65">
        <v>4.8899999999999997</v>
      </c>
      <c r="H65">
        <v>6.4</v>
      </c>
      <c r="I65">
        <v>6.4</v>
      </c>
      <c r="J65">
        <v>5.0999999999999996</v>
      </c>
      <c r="K65">
        <v>11332.7</v>
      </c>
      <c r="L65">
        <v>22</v>
      </c>
      <c r="M65">
        <v>1.3</v>
      </c>
      <c r="N65" t="s">
        <v>17</v>
      </c>
      <c r="O65">
        <v>100</v>
      </c>
      <c r="P65">
        <v>290.97000000000003</v>
      </c>
      <c r="Q65">
        <v>1</v>
      </c>
    </row>
    <row r="66" spans="1:17" x14ac:dyDescent="0.25">
      <c r="A66" t="str">
        <f t="shared" si="0"/>
        <v>0_5.2_22</v>
      </c>
      <c r="B66" s="1">
        <v>0</v>
      </c>
      <c r="C66">
        <v>1.31</v>
      </c>
      <c r="D66">
        <v>3469</v>
      </c>
      <c r="E66">
        <v>0.65</v>
      </c>
      <c r="F66">
        <v>3.74</v>
      </c>
      <c r="G66">
        <v>3.74</v>
      </c>
      <c r="H66">
        <v>4.88</v>
      </c>
      <c r="I66">
        <v>4.88</v>
      </c>
      <c r="J66">
        <v>5.2</v>
      </c>
      <c r="K66">
        <v>10222.64</v>
      </c>
      <c r="L66">
        <v>22</v>
      </c>
      <c r="M66">
        <v>0.32</v>
      </c>
      <c r="N66" t="s">
        <v>16</v>
      </c>
      <c r="O66">
        <v>100</v>
      </c>
      <c r="P66">
        <v>390.93</v>
      </c>
      <c r="Q66">
        <v>1</v>
      </c>
    </row>
    <row r="67" spans="1:17" x14ac:dyDescent="0.25">
      <c r="A67" t="str">
        <f t="shared" ref="A67:A130" si="1">B67&amp;"_"&amp;J67&amp;"_"&amp;L67</f>
        <v>1_5.2_22</v>
      </c>
      <c r="B67" s="1">
        <v>1</v>
      </c>
      <c r="C67">
        <v>1.32</v>
      </c>
      <c r="D67">
        <v>4063</v>
      </c>
      <c r="E67">
        <v>0.77</v>
      </c>
      <c r="F67">
        <v>4.82</v>
      </c>
      <c r="G67">
        <v>4.82</v>
      </c>
      <c r="H67">
        <v>6.36</v>
      </c>
      <c r="I67">
        <v>6.36</v>
      </c>
      <c r="J67">
        <v>5.2</v>
      </c>
      <c r="K67">
        <v>11730.48</v>
      </c>
      <c r="L67">
        <v>22</v>
      </c>
      <c r="M67">
        <v>1.1599999999999999</v>
      </c>
      <c r="N67" t="s">
        <v>17</v>
      </c>
      <c r="O67">
        <v>100</v>
      </c>
      <c r="P67">
        <v>296.04000000000002</v>
      </c>
      <c r="Q67">
        <v>1</v>
      </c>
    </row>
    <row r="68" spans="1:17" x14ac:dyDescent="0.25">
      <c r="A68" t="str">
        <f t="shared" si="1"/>
        <v>0_5.3_22</v>
      </c>
      <c r="B68" s="1">
        <v>0</v>
      </c>
      <c r="C68">
        <v>1.29</v>
      </c>
      <c r="D68">
        <v>3397</v>
      </c>
      <c r="E68">
        <v>0.64</v>
      </c>
      <c r="F68">
        <v>3.81</v>
      </c>
      <c r="G68">
        <v>3.81</v>
      </c>
      <c r="H68">
        <v>4.92</v>
      </c>
      <c r="I68">
        <v>4.92</v>
      </c>
      <c r="J68">
        <v>5.3</v>
      </c>
      <c r="K68">
        <v>9797.9699999999993</v>
      </c>
      <c r="L68">
        <v>22</v>
      </c>
      <c r="M68">
        <v>0.38</v>
      </c>
      <c r="N68" t="s">
        <v>16</v>
      </c>
      <c r="O68">
        <v>100</v>
      </c>
      <c r="P68">
        <v>382.72</v>
      </c>
      <c r="Q68">
        <v>1</v>
      </c>
    </row>
    <row r="69" spans="1:17" x14ac:dyDescent="0.25">
      <c r="A69" t="str">
        <f t="shared" si="1"/>
        <v>1_5.3_22</v>
      </c>
      <c r="B69" s="1">
        <v>1</v>
      </c>
      <c r="C69">
        <v>1.31</v>
      </c>
      <c r="D69">
        <v>4021</v>
      </c>
      <c r="E69">
        <v>0.76</v>
      </c>
      <c r="F69">
        <v>4.8600000000000003</v>
      </c>
      <c r="G69">
        <v>4.8600000000000003</v>
      </c>
      <c r="H69">
        <v>6.38</v>
      </c>
      <c r="I69">
        <v>6.38</v>
      </c>
      <c r="J69">
        <v>5.3</v>
      </c>
      <c r="K69">
        <v>11486.44</v>
      </c>
      <c r="L69">
        <v>22</v>
      </c>
      <c r="M69">
        <v>1.08</v>
      </c>
      <c r="N69" t="s">
        <v>17</v>
      </c>
      <c r="O69">
        <v>100</v>
      </c>
      <c r="P69">
        <v>292.94</v>
      </c>
      <c r="Q69">
        <v>1</v>
      </c>
    </row>
    <row r="70" spans="1:17" x14ac:dyDescent="0.25">
      <c r="A70" t="str">
        <f t="shared" si="1"/>
        <v>0_5.4_22</v>
      </c>
      <c r="B70" s="1">
        <v>0</v>
      </c>
      <c r="C70">
        <v>1.3</v>
      </c>
      <c r="D70">
        <v>3458</v>
      </c>
      <c r="E70">
        <v>0.65</v>
      </c>
      <c r="F70">
        <v>3.75</v>
      </c>
      <c r="G70">
        <v>3.75</v>
      </c>
      <c r="H70">
        <v>4.8899999999999997</v>
      </c>
      <c r="I70">
        <v>4.8899999999999997</v>
      </c>
      <c r="J70">
        <v>5.4</v>
      </c>
      <c r="K70">
        <v>10158.1</v>
      </c>
      <c r="L70">
        <v>22</v>
      </c>
      <c r="M70">
        <v>0.51</v>
      </c>
      <c r="N70" t="s">
        <v>16</v>
      </c>
      <c r="O70">
        <v>100</v>
      </c>
      <c r="P70">
        <v>389.69</v>
      </c>
      <c r="Q70">
        <v>1</v>
      </c>
    </row>
    <row r="71" spans="1:17" x14ac:dyDescent="0.25">
      <c r="A71" t="str">
        <f t="shared" si="1"/>
        <v>1_5.4_22</v>
      </c>
      <c r="B71" s="1">
        <v>1</v>
      </c>
      <c r="C71">
        <v>1.32</v>
      </c>
      <c r="D71">
        <v>4057</v>
      </c>
      <c r="E71">
        <v>0.77</v>
      </c>
      <c r="F71">
        <v>4.83</v>
      </c>
      <c r="G71">
        <v>4.83</v>
      </c>
      <c r="H71">
        <v>6.36</v>
      </c>
      <c r="I71">
        <v>6.36</v>
      </c>
      <c r="J71">
        <v>5.4</v>
      </c>
      <c r="K71">
        <v>11694.34</v>
      </c>
      <c r="L71">
        <v>22</v>
      </c>
      <c r="M71">
        <v>0.96</v>
      </c>
      <c r="N71" t="s">
        <v>17</v>
      </c>
      <c r="O71">
        <v>100</v>
      </c>
      <c r="P71">
        <v>295.58</v>
      </c>
      <c r="Q71">
        <v>1</v>
      </c>
    </row>
    <row r="72" spans="1:17" x14ac:dyDescent="0.25">
      <c r="A72" t="str">
        <f t="shared" si="1"/>
        <v>0_5.5_22</v>
      </c>
      <c r="B72" s="1">
        <v>0</v>
      </c>
      <c r="C72">
        <v>1.49</v>
      </c>
      <c r="D72">
        <v>4340</v>
      </c>
      <c r="E72">
        <v>0.82</v>
      </c>
      <c r="F72">
        <v>3.03</v>
      </c>
      <c r="G72">
        <v>3.03</v>
      </c>
      <c r="H72">
        <v>4.53</v>
      </c>
      <c r="I72">
        <v>4.53</v>
      </c>
      <c r="J72">
        <v>5.5</v>
      </c>
      <c r="K72">
        <v>16000</v>
      </c>
      <c r="L72">
        <v>22</v>
      </c>
      <c r="M72">
        <v>0.97</v>
      </c>
      <c r="N72" t="s">
        <v>16</v>
      </c>
      <c r="O72">
        <v>100</v>
      </c>
      <c r="P72">
        <v>489.08</v>
      </c>
      <c r="Q72">
        <v>1</v>
      </c>
    </row>
    <row r="73" spans="1:17" x14ac:dyDescent="0.25">
      <c r="A73" t="str">
        <f t="shared" si="1"/>
        <v>1_5.5_22</v>
      </c>
      <c r="B73" s="1">
        <v>1</v>
      </c>
      <c r="C73">
        <v>1.4</v>
      </c>
      <c r="D73">
        <v>4457</v>
      </c>
      <c r="E73">
        <v>0.84</v>
      </c>
      <c r="F73">
        <v>4.47</v>
      </c>
      <c r="G73">
        <v>4.47</v>
      </c>
      <c r="H73">
        <v>6.26</v>
      </c>
      <c r="I73">
        <v>6.26</v>
      </c>
      <c r="J73">
        <v>5.5</v>
      </c>
      <c r="K73">
        <v>14335.55</v>
      </c>
      <c r="L73">
        <v>22</v>
      </c>
      <c r="M73">
        <v>0.76</v>
      </c>
      <c r="N73" t="s">
        <v>17</v>
      </c>
      <c r="O73">
        <v>98.3</v>
      </c>
      <c r="P73">
        <v>321.43</v>
      </c>
      <c r="Q73">
        <v>1</v>
      </c>
    </row>
    <row r="74" spans="1:17" x14ac:dyDescent="0.25">
      <c r="A74" t="str">
        <f t="shared" si="1"/>
        <v>0_5.6_22</v>
      </c>
      <c r="B74" s="1">
        <v>0</v>
      </c>
      <c r="C74">
        <v>1.29</v>
      </c>
      <c r="D74">
        <v>3359</v>
      </c>
      <c r="E74">
        <v>0.63</v>
      </c>
      <c r="F74">
        <v>3.85</v>
      </c>
      <c r="G74">
        <v>3.85</v>
      </c>
      <c r="H74">
        <v>4.95</v>
      </c>
      <c r="I74">
        <v>4.95</v>
      </c>
      <c r="J74">
        <v>5.6</v>
      </c>
      <c r="K74">
        <v>9581.3700000000008</v>
      </c>
      <c r="L74">
        <v>22</v>
      </c>
      <c r="M74">
        <v>0.65</v>
      </c>
      <c r="N74" t="s">
        <v>16</v>
      </c>
      <c r="O74">
        <v>100</v>
      </c>
      <c r="P74">
        <v>378.47</v>
      </c>
      <c r="Q74">
        <v>1</v>
      </c>
    </row>
    <row r="75" spans="1:17" x14ac:dyDescent="0.25">
      <c r="A75" t="str">
        <f t="shared" si="1"/>
        <v>1_5.6_22</v>
      </c>
      <c r="B75" s="1">
        <v>1</v>
      </c>
      <c r="C75">
        <v>1.31</v>
      </c>
      <c r="D75">
        <v>3998</v>
      </c>
      <c r="E75">
        <v>0.75</v>
      </c>
      <c r="F75">
        <v>4.8899999999999997</v>
      </c>
      <c r="G75">
        <v>4.8899999999999997</v>
      </c>
      <c r="H75">
        <v>6.4</v>
      </c>
      <c r="I75">
        <v>6.4</v>
      </c>
      <c r="J75">
        <v>5.6</v>
      </c>
      <c r="K75">
        <v>11356.2</v>
      </c>
      <c r="L75">
        <v>22</v>
      </c>
      <c r="M75">
        <v>0.8</v>
      </c>
      <c r="N75" t="s">
        <v>17</v>
      </c>
      <c r="O75">
        <v>100</v>
      </c>
      <c r="P75">
        <v>291.27</v>
      </c>
      <c r="Q75">
        <v>1</v>
      </c>
    </row>
    <row r="76" spans="1:17" x14ac:dyDescent="0.25">
      <c r="A76" t="str">
        <f t="shared" si="1"/>
        <v>0_5.7_22</v>
      </c>
      <c r="B76" s="1">
        <v>0</v>
      </c>
      <c r="C76">
        <v>1.3</v>
      </c>
      <c r="D76">
        <v>3436</v>
      </c>
      <c r="E76">
        <v>0.65</v>
      </c>
      <c r="F76">
        <v>3.77</v>
      </c>
      <c r="G76">
        <v>3.77</v>
      </c>
      <c r="H76">
        <v>4.9000000000000004</v>
      </c>
      <c r="I76">
        <v>4.9000000000000004</v>
      </c>
      <c r="J76">
        <v>5.7</v>
      </c>
      <c r="K76">
        <v>10026.56</v>
      </c>
      <c r="L76">
        <v>22</v>
      </c>
      <c r="M76">
        <v>0.8</v>
      </c>
      <c r="N76" t="s">
        <v>16</v>
      </c>
      <c r="O76">
        <v>100</v>
      </c>
      <c r="P76">
        <v>387.16</v>
      </c>
      <c r="Q76">
        <v>1</v>
      </c>
    </row>
    <row r="77" spans="1:17" x14ac:dyDescent="0.25">
      <c r="A77" t="str">
        <f t="shared" si="1"/>
        <v>1_5.7_22</v>
      </c>
      <c r="B77" s="1">
        <v>1</v>
      </c>
      <c r="C77">
        <v>1.32</v>
      </c>
      <c r="D77">
        <v>4044</v>
      </c>
      <c r="E77">
        <v>0.76</v>
      </c>
      <c r="F77">
        <v>4.84</v>
      </c>
      <c r="G77">
        <v>4.84</v>
      </c>
      <c r="H77">
        <v>6.37</v>
      </c>
      <c r="I77">
        <v>6.37</v>
      </c>
      <c r="J77">
        <v>5.7</v>
      </c>
      <c r="K77">
        <v>11619.63</v>
      </c>
      <c r="L77">
        <v>22</v>
      </c>
      <c r="M77">
        <v>0.67</v>
      </c>
      <c r="N77" t="s">
        <v>17</v>
      </c>
      <c r="O77">
        <v>100</v>
      </c>
      <c r="P77">
        <v>294.63</v>
      </c>
      <c r="Q77">
        <v>1</v>
      </c>
    </row>
    <row r="78" spans="1:17" x14ac:dyDescent="0.25">
      <c r="A78" t="str">
        <f t="shared" si="1"/>
        <v>0_5.8_22</v>
      </c>
      <c r="B78" s="1">
        <v>0</v>
      </c>
      <c r="C78">
        <v>1.24</v>
      </c>
      <c r="D78">
        <v>3057</v>
      </c>
      <c r="E78">
        <v>0.57999999999999996</v>
      </c>
      <c r="F78">
        <v>4.2</v>
      </c>
      <c r="G78">
        <v>4.2</v>
      </c>
      <c r="H78">
        <v>5.18</v>
      </c>
      <c r="I78">
        <v>5.18</v>
      </c>
      <c r="J78">
        <v>5.8</v>
      </c>
      <c r="K78">
        <v>7938.6</v>
      </c>
      <c r="L78">
        <v>22</v>
      </c>
      <c r="M78">
        <v>0.62</v>
      </c>
      <c r="N78" t="s">
        <v>16</v>
      </c>
      <c r="O78">
        <v>100</v>
      </c>
      <c r="P78">
        <v>344.5</v>
      </c>
      <c r="Q78">
        <v>1</v>
      </c>
    </row>
    <row r="79" spans="1:17" x14ac:dyDescent="0.25">
      <c r="A79" t="str">
        <f t="shared" si="1"/>
        <v>1_5.8_22</v>
      </c>
      <c r="B79" s="1">
        <v>1</v>
      </c>
      <c r="C79">
        <v>1.28</v>
      </c>
      <c r="D79">
        <v>3795</v>
      </c>
      <c r="E79">
        <v>0.72</v>
      </c>
      <c r="F79">
        <v>5.12</v>
      </c>
      <c r="G79">
        <v>5.12</v>
      </c>
      <c r="H79">
        <v>6.54</v>
      </c>
      <c r="I79">
        <v>6.54</v>
      </c>
      <c r="J79">
        <v>5.8</v>
      </c>
      <c r="K79">
        <v>10231.790000000001</v>
      </c>
      <c r="L79">
        <v>22</v>
      </c>
      <c r="M79">
        <v>0.74</v>
      </c>
      <c r="N79" t="s">
        <v>17</v>
      </c>
      <c r="O79">
        <v>100</v>
      </c>
      <c r="P79">
        <v>276.48</v>
      </c>
      <c r="Q79">
        <v>1</v>
      </c>
    </row>
    <row r="80" spans="1:17" x14ac:dyDescent="0.25">
      <c r="A80" t="str">
        <f t="shared" si="1"/>
        <v>0_5.9_22</v>
      </c>
      <c r="B80" s="1">
        <v>0</v>
      </c>
      <c r="C80">
        <v>1.49</v>
      </c>
      <c r="D80">
        <v>4340</v>
      </c>
      <c r="E80">
        <v>0.82</v>
      </c>
      <c r="F80">
        <v>3.03</v>
      </c>
      <c r="G80">
        <v>3.03</v>
      </c>
      <c r="H80">
        <v>4.53</v>
      </c>
      <c r="I80">
        <v>4.53</v>
      </c>
      <c r="J80">
        <v>5.9</v>
      </c>
      <c r="K80">
        <v>16000</v>
      </c>
      <c r="L80">
        <v>22</v>
      </c>
      <c r="M80">
        <v>1.37</v>
      </c>
      <c r="N80" t="s">
        <v>16</v>
      </c>
      <c r="O80">
        <v>100</v>
      </c>
      <c r="P80">
        <v>489.08</v>
      </c>
      <c r="Q80">
        <v>1</v>
      </c>
    </row>
    <row r="81" spans="1:17" x14ac:dyDescent="0.25">
      <c r="A81" t="str">
        <f t="shared" si="1"/>
        <v>1_5.9_22</v>
      </c>
      <c r="B81" s="1">
        <v>1</v>
      </c>
      <c r="C81">
        <v>1.46</v>
      </c>
      <c r="D81">
        <v>4579</v>
      </c>
      <c r="E81">
        <v>0.86</v>
      </c>
      <c r="F81">
        <v>4.47</v>
      </c>
      <c r="G81">
        <v>4.47</v>
      </c>
      <c r="H81">
        <v>6.53</v>
      </c>
      <c r="I81">
        <v>6.53</v>
      </c>
      <c r="J81">
        <v>5.9</v>
      </c>
      <c r="K81">
        <v>15716.51</v>
      </c>
      <c r="L81">
        <v>22</v>
      </c>
      <c r="M81">
        <v>0.63</v>
      </c>
      <c r="N81" t="s">
        <v>17</v>
      </c>
      <c r="O81">
        <v>93.89</v>
      </c>
      <c r="P81">
        <v>321.43</v>
      </c>
      <c r="Q81">
        <v>1</v>
      </c>
    </row>
    <row r="82" spans="1:17" x14ac:dyDescent="0.25">
      <c r="A82" t="str">
        <f t="shared" si="1"/>
        <v>0_5_26</v>
      </c>
      <c r="B82" s="1">
        <v>0</v>
      </c>
      <c r="C82">
        <v>1.26</v>
      </c>
      <c r="D82">
        <v>3162</v>
      </c>
      <c r="E82">
        <v>0.6</v>
      </c>
      <c r="F82">
        <v>4.74</v>
      </c>
      <c r="G82">
        <v>4.74</v>
      </c>
      <c r="H82">
        <v>5.95</v>
      </c>
      <c r="I82">
        <v>5.95</v>
      </c>
      <c r="J82">
        <v>5</v>
      </c>
      <c r="K82">
        <v>10034.09</v>
      </c>
      <c r="L82">
        <v>26</v>
      </c>
      <c r="M82">
        <v>0.95</v>
      </c>
      <c r="N82" t="s">
        <v>16</v>
      </c>
      <c r="O82">
        <v>100</v>
      </c>
      <c r="P82">
        <v>356.27</v>
      </c>
      <c r="Q82">
        <v>1</v>
      </c>
    </row>
    <row r="83" spans="1:17" x14ac:dyDescent="0.25">
      <c r="A83" t="str">
        <f t="shared" si="1"/>
        <v>1_5_26</v>
      </c>
      <c r="B83" s="1">
        <v>1</v>
      </c>
      <c r="C83">
        <v>1.31</v>
      </c>
      <c r="D83">
        <v>3886</v>
      </c>
      <c r="E83">
        <v>0.73</v>
      </c>
      <c r="F83">
        <v>5.89</v>
      </c>
      <c r="G83">
        <v>5.89</v>
      </c>
      <c r="H83">
        <v>7.7</v>
      </c>
      <c r="I83">
        <v>7.7</v>
      </c>
      <c r="J83">
        <v>5</v>
      </c>
      <c r="K83">
        <v>12942.57</v>
      </c>
      <c r="L83">
        <v>26</v>
      </c>
      <c r="M83">
        <v>2.7</v>
      </c>
      <c r="N83" t="s">
        <v>17</v>
      </c>
      <c r="O83">
        <v>97.74</v>
      </c>
      <c r="P83">
        <v>279.32</v>
      </c>
      <c r="Q83">
        <v>1</v>
      </c>
    </row>
    <row r="84" spans="1:17" x14ac:dyDescent="0.25">
      <c r="A84" t="str">
        <f t="shared" si="1"/>
        <v>0_5.1_26</v>
      </c>
      <c r="B84" s="1">
        <v>0</v>
      </c>
      <c r="C84">
        <v>1.4</v>
      </c>
      <c r="D84">
        <v>3933</v>
      </c>
      <c r="E84">
        <v>0.74</v>
      </c>
      <c r="F84">
        <v>3.88</v>
      </c>
      <c r="G84">
        <v>3.88</v>
      </c>
      <c r="H84">
        <v>5.45</v>
      </c>
      <c r="I84">
        <v>5.45</v>
      </c>
      <c r="J84">
        <v>5.0999999999999996</v>
      </c>
      <c r="K84">
        <v>15522.34</v>
      </c>
      <c r="L84">
        <v>26</v>
      </c>
      <c r="M84">
        <v>0.35</v>
      </c>
      <c r="N84" t="s">
        <v>16</v>
      </c>
      <c r="O84">
        <v>100</v>
      </c>
      <c r="P84">
        <v>443.12</v>
      </c>
      <c r="Q84">
        <v>1</v>
      </c>
    </row>
    <row r="85" spans="1:17" x14ac:dyDescent="0.25">
      <c r="A85" t="str">
        <f t="shared" si="1"/>
        <v>1_5.1_26</v>
      </c>
      <c r="B85" s="1">
        <v>1</v>
      </c>
      <c r="C85">
        <v>1.39</v>
      </c>
      <c r="D85">
        <v>4310</v>
      </c>
      <c r="E85">
        <v>0.81</v>
      </c>
      <c r="F85">
        <v>5.39</v>
      </c>
      <c r="G85">
        <v>5.39</v>
      </c>
      <c r="H85">
        <v>7.47</v>
      </c>
      <c r="I85">
        <v>7.47</v>
      </c>
      <c r="J85">
        <v>5.0999999999999996</v>
      </c>
      <c r="K85">
        <v>16000</v>
      </c>
      <c r="L85">
        <v>26</v>
      </c>
      <c r="M85">
        <v>2.37</v>
      </c>
      <c r="N85" t="s">
        <v>17</v>
      </c>
      <c r="O85">
        <v>97.16</v>
      </c>
      <c r="P85">
        <v>308.67</v>
      </c>
      <c r="Q85">
        <v>1</v>
      </c>
    </row>
    <row r="86" spans="1:17" x14ac:dyDescent="0.25">
      <c r="A86" t="str">
        <f t="shared" si="1"/>
        <v>0_5.2_26</v>
      </c>
      <c r="B86" s="1">
        <v>0</v>
      </c>
      <c r="C86">
        <v>1.26</v>
      </c>
      <c r="D86">
        <v>3174</v>
      </c>
      <c r="E86">
        <v>0.6</v>
      </c>
      <c r="F86">
        <v>4.72</v>
      </c>
      <c r="G86">
        <v>4.72</v>
      </c>
      <c r="H86">
        <v>5.94</v>
      </c>
      <c r="I86">
        <v>5.94</v>
      </c>
      <c r="J86">
        <v>5.2</v>
      </c>
      <c r="K86">
        <v>10110.4</v>
      </c>
      <c r="L86">
        <v>26</v>
      </c>
      <c r="M86">
        <v>0.74</v>
      </c>
      <c r="N86" t="s">
        <v>16</v>
      </c>
      <c r="O86">
        <v>100</v>
      </c>
      <c r="P86">
        <v>357.62</v>
      </c>
      <c r="Q86">
        <v>1</v>
      </c>
    </row>
    <row r="87" spans="1:17" x14ac:dyDescent="0.25">
      <c r="A87" t="str">
        <f t="shared" si="1"/>
        <v>1_5.2_26</v>
      </c>
      <c r="B87" s="1">
        <v>1</v>
      </c>
      <c r="C87">
        <v>1.31</v>
      </c>
      <c r="D87">
        <v>3897</v>
      </c>
      <c r="E87">
        <v>0.74</v>
      </c>
      <c r="F87">
        <v>5.88</v>
      </c>
      <c r="G87">
        <v>5.88</v>
      </c>
      <c r="H87">
        <v>7.7</v>
      </c>
      <c r="I87">
        <v>7.7</v>
      </c>
      <c r="J87">
        <v>5.2</v>
      </c>
      <c r="K87">
        <v>13028.76</v>
      </c>
      <c r="L87">
        <v>26</v>
      </c>
      <c r="M87">
        <v>2.5</v>
      </c>
      <c r="N87" t="s">
        <v>17</v>
      </c>
      <c r="O87">
        <v>97.63</v>
      </c>
      <c r="P87">
        <v>279.91000000000003</v>
      </c>
      <c r="Q87">
        <v>1</v>
      </c>
    </row>
    <row r="88" spans="1:17" x14ac:dyDescent="0.25">
      <c r="A88" t="str">
        <f t="shared" si="1"/>
        <v>0_5.3_26</v>
      </c>
      <c r="B88" s="1">
        <v>0</v>
      </c>
      <c r="C88">
        <v>1.3</v>
      </c>
      <c r="D88">
        <v>3403</v>
      </c>
      <c r="E88">
        <v>0.64</v>
      </c>
      <c r="F88">
        <v>4.43</v>
      </c>
      <c r="G88">
        <v>4.43</v>
      </c>
      <c r="H88">
        <v>5.75</v>
      </c>
      <c r="I88">
        <v>5.75</v>
      </c>
      <c r="J88">
        <v>5.3</v>
      </c>
      <c r="K88">
        <v>11621.28</v>
      </c>
      <c r="L88">
        <v>26</v>
      </c>
      <c r="M88">
        <v>0.45</v>
      </c>
      <c r="N88" t="s">
        <v>16</v>
      </c>
      <c r="O88">
        <v>100</v>
      </c>
      <c r="P88">
        <v>383.41</v>
      </c>
      <c r="Q88">
        <v>1</v>
      </c>
    </row>
    <row r="89" spans="1:17" x14ac:dyDescent="0.25">
      <c r="A89" t="str">
        <f t="shared" si="1"/>
        <v>1_5.3_26</v>
      </c>
      <c r="B89" s="1">
        <v>1</v>
      </c>
      <c r="C89">
        <v>1.35</v>
      </c>
      <c r="D89">
        <v>4086</v>
      </c>
      <c r="E89">
        <v>0.77</v>
      </c>
      <c r="F89">
        <v>5.69</v>
      </c>
      <c r="G89">
        <v>5.69</v>
      </c>
      <c r="H89">
        <v>7.7</v>
      </c>
      <c r="I89">
        <v>7.7</v>
      </c>
      <c r="J89">
        <v>5.3</v>
      </c>
      <c r="K89">
        <v>14544.54</v>
      </c>
      <c r="L89">
        <v>26</v>
      </c>
      <c r="M89">
        <v>2.4</v>
      </c>
      <c r="N89" t="s">
        <v>17</v>
      </c>
      <c r="O89">
        <v>95.86</v>
      </c>
      <c r="P89">
        <v>290.33</v>
      </c>
      <c r="Q89">
        <v>1</v>
      </c>
    </row>
    <row r="90" spans="1:17" x14ac:dyDescent="0.25">
      <c r="A90" t="str">
        <f t="shared" si="1"/>
        <v>0_5.4_26</v>
      </c>
      <c r="B90" s="1">
        <v>0</v>
      </c>
      <c r="C90">
        <v>1.42</v>
      </c>
      <c r="D90">
        <v>3993</v>
      </c>
      <c r="E90">
        <v>0.75</v>
      </c>
      <c r="F90">
        <v>3.83</v>
      </c>
      <c r="G90">
        <v>3.83</v>
      </c>
      <c r="H90">
        <v>5.43</v>
      </c>
      <c r="I90">
        <v>5.43</v>
      </c>
      <c r="J90">
        <v>5.4</v>
      </c>
      <c r="K90">
        <v>16000</v>
      </c>
      <c r="L90">
        <v>26</v>
      </c>
      <c r="M90">
        <v>0.03</v>
      </c>
      <c r="N90" t="s">
        <v>16</v>
      </c>
      <c r="O90">
        <v>100</v>
      </c>
      <c r="P90">
        <v>449.88</v>
      </c>
      <c r="Q90">
        <v>1</v>
      </c>
    </row>
    <row r="91" spans="1:17" x14ac:dyDescent="0.25">
      <c r="A91" t="str">
        <f t="shared" si="1"/>
        <v>1_5.4_26</v>
      </c>
      <c r="B91" s="1">
        <v>1</v>
      </c>
      <c r="C91">
        <v>1.36</v>
      </c>
      <c r="D91">
        <v>4258</v>
      </c>
      <c r="E91">
        <v>0.8</v>
      </c>
      <c r="F91">
        <v>5.37</v>
      </c>
      <c r="G91">
        <v>5.37</v>
      </c>
      <c r="H91">
        <v>7.28</v>
      </c>
      <c r="I91">
        <v>7.28</v>
      </c>
      <c r="J91">
        <v>5.4</v>
      </c>
      <c r="K91">
        <v>15227.58</v>
      </c>
      <c r="L91">
        <v>26</v>
      </c>
      <c r="M91">
        <v>1.88</v>
      </c>
      <c r="N91" t="s">
        <v>17</v>
      </c>
      <c r="O91">
        <v>100</v>
      </c>
      <c r="P91">
        <v>310.25</v>
      </c>
      <c r="Q91">
        <v>1</v>
      </c>
    </row>
    <row r="92" spans="1:17" x14ac:dyDescent="0.25">
      <c r="A92" t="str">
        <f t="shared" si="1"/>
        <v>0_5.5_26</v>
      </c>
      <c r="B92" s="1">
        <v>0</v>
      </c>
      <c r="C92">
        <v>1.39</v>
      </c>
      <c r="D92">
        <v>3846</v>
      </c>
      <c r="E92">
        <v>0.73</v>
      </c>
      <c r="F92">
        <v>3.96</v>
      </c>
      <c r="G92">
        <v>3.96</v>
      </c>
      <c r="H92">
        <v>5.49</v>
      </c>
      <c r="I92">
        <v>5.49</v>
      </c>
      <c r="J92">
        <v>5.5</v>
      </c>
      <c r="K92">
        <v>14845.78</v>
      </c>
      <c r="L92">
        <v>26</v>
      </c>
      <c r="M92">
        <v>0.01</v>
      </c>
      <c r="N92" t="s">
        <v>16</v>
      </c>
      <c r="O92">
        <v>100</v>
      </c>
      <c r="P92">
        <v>433.35</v>
      </c>
      <c r="Q92">
        <v>1</v>
      </c>
    </row>
    <row r="93" spans="1:17" x14ac:dyDescent="0.25">
      <c r="A93" t="str">
        <f t="shared" si="1"/>
        <v>1_5.5_26</v>
      </c>
      <c r="B93" s="1">
        <v>1</v>
      </c>
      <c r="C93">
        <v>1.42</v>
      </c>
      <c r="D93">
        <v>3321</v>
      </c>
      <c r="E93">
        <v>0.63</v>
      </c>
      <c r="F93">
        <v>5.43</v>
      </c>
      <c r="G93">
        <v>5.43</v>
      </c>
      <c r="H93">
        <v>7.7</v>
      </c>
      <c r="I93">
        <v>7.7</v>
      </c>
      <c r="J93">
        <v>5.5</v>
      </c>
      <c r="K93">
        <v>7000</v>
      </c>
      <c r="L93">
        <v>26</v>
      </c>
      <c r="M93">
        <v>2.2000000000000002</v>
      </c>
      <c r="N93" t="s">
        <v>17</v>
      </c>
      <c r="O93">
        <v>38.630000000000003</v>
      </c>
      <c r="P93">
        <v>153.11000000000001</v>
      </c>
      <c r="Q93">
        <v>2</v>
      </c>
    </row>
    <row r="94" spans="1:17" x14ac:dyDescent="0.25">
      <c r="A94" t="str">
        <f t="shared" si="1"/>
        <v>0_5.6_26</v>
      </c>
      <c r="B94" s="1">
        <v>0</v>
      </c>
      <c r="C94">
        <v>1.25</v>
      </c>
      <c r="D94">
        <v>3102</v>
      </c>
      <c r="E94">
        <v>0.59</v>
      </c>
      <c r="F94">
        <v>4.82</v>
      </c>
      <c r="G94">
        <v>4.82</v>
      </c>
      <c r="H94">
        <v>6.01</v>
      </c>
      <c r="I94">
        <v>6.01</v>
      </c>
      <c r="J94">
        <v>5.6</v>
      </c>
      <c r="K94">
        <v>9659.73</v>
      </c>
      <c r="L94">
        <v>26</v>
      </c>
      <c r="M94">
        <v>0.41</v>
      </c>
      <c r="N94" t="s">
        <v>16</v>
      </c>
      <c r="O94">
        <v>100</v>
      </c>
      <c r="P94">
        <v>349.56</v>
      </c>
      <c r="Q94">
        <v>1</v>
      </c>
    </row>
    <row r="95" spans="1:17" x14ac:dyDescent="0.25">
      <c r="A95" t="str">
        <f t="shared" si="1"/>
        <v>1_5.6_26</v>
      </c>
      <c r="B95" s="1">
        <v>1</v>
      </c>
      <c r="C95">
        <v>1.29</v>
      </c>
      <c r="D95">
        <v>3830</v>
      </c>
      <c r="E95">
        <v>0.72</v>
      </c>
      <c r="F95">
        <v>5.95</v>
      </c>
      <c r="G95">
        <v>5.95</v>
      </c>
      <c r="H95">
        <v>7.7</v>
      </c>
      <c r="I95">
        <v>7.7</v>
      </c>
      <c r="J95">
        <v>5.6</v>
      </c>
      <c r="K95">
        <v>12504.64</v>
      </c>
      <c r="L95">
        <v>26</v>
      </c>
      <c r="M95">
        <v>2.1</v>
      </c>
      <c r="N95" t="s">
        <v>17</v>
      </c>
      <c r="O95">
        <v>98.36</v>
      </c>
      <c r="P95">
        <v>276.33</v>
      </c>
      <c r="Q95">
        <v>1</v>
      </c>
    </row>
    <row r="96" spans="1:17" x14ac:dyDescent="0.25">
      <c r="A96" t="str">
        <f t="shared" si="1"/>
        <v>0_5.7_26</v>
      </c>
      <c r="B96" s="1">
        <v>0</v>
      </c>
      <c r="C96">
        <v>1.42</v>
      </c>
      <c r="D96">
        <v>3993</v>
      </c>
      <c r="E96">
        <v>0.75</v>
      </c>
      <c r="F96">
        <v>3.83</v>
      </c>
      <c r="G96">
        <v>3.83</v>
      </c>
      <c r="H96">
        <v>5.43</v>
      </c>
      <c r="I96">
        <v>5.43</v>
      </c>
      <c r="J96">
        <v>5.7</v>
      </c>
      <c r="K96">
        <v>16000</v>
      </c>
      <c r="L96">
        <v>26</v>
      </c>
      <c r="M96">
        <v>0.27</v>
      </c>
      <c r="N96" t="s">
        <v>16</v>
      </c>
      <c r="O96">
        <v>100</v>
      </c>
      <c r="P96">
        <v>449.88</v>
      </c>
      <c r="Q96">
        <v>1</v>
      </c>
    </row>
    <row r="97" spans="1:17" x14ac:dyDescent="0.25">
      <c r="A97" t="str">
        <f t="shared" si="1"/>
        <v>1_5.7_26</v>
      </c>
      <c r="B97" s="1">
        <v>1</v>
      </c>
      <c r="C97">
        <v>1.38</v>
      </c>
      <c r="D97">
        <v>4319</v>
      </c>
      <c r="E97">
        <v>0.81</v>
      </c>
      <c r="F97">
        <v>5.37</v>
      </c>
      <c r="G97">
        <v>5.37</v>
      </c>
      <c r="H97">
        <v>7.43</v>
      </c>
      <c r="I97">
        <v>7.43</v>
      </c>
      <c r="J97">
        <v>5.7</v>
      </c>
      <c r="K97">
        <v>15999.57</v>
      </c>
      <c r="L97">
        <v>26</v>
      </c>
      <c r="M97">
        <v>1.73</v>
      </c>
      <c r="N97" t="s">
        <v>17</v>
      </c>
      <c r="O97">
        <v>97.65</v>
      </c>
      <c r="P97">
        <v>310.25</v>
      </c>
      <c r="Q97">
        <v>1</v>
      </c>
    </row>
    <row r="98" spans="1:17" x14ac:dyDescent="0.25">
      <c r="A98" t="str">
        <f t="shared" si="1"/>
        <v>0_5.8_26</v>
      </c>
      <c r="B98" s="1">
        <v>0</v>
      </c>
      <c r="C98">
        <v>1.33</v>
      </c>
      <c r="D98">
        <v>3570</v>
      </c>
      <c r="E98">
        <v>0.67</v>
      </c>
      <c r="F98">
        <v>4.24</v>
      </c>
      <c r="G98">
        <v>4.24</v>
      </c>
      <c r="H98">
        <v>5.64</v>
      </c>
      <c r="I98">
        <v>5.64</v>
      </c>
      <c r="J98">
        <v>5.8</v>
      </c>
      <c r="K98">
        <v>12788.22</v>
      </c>
      <c r="L98">
        <v>26</v>
      </c>
      <c r="M98">
        <v>0.16</v>
      </c>
      <c r="N98" t="s">
        <v>16</v>
      </c>
      <c r="O98">
        <v>100</v>
      </c>
      <c r="P98">
        <v>402.2</v>
      </c>
      <c r="Q98">
        <v>1</v>
      </c>
    </row>
    <row r="99" spans="1:17" x14ac:dyDescent="0.25">
      <c r="A99" t="str">
        <f t="shared" si="1"/>
        <v>1_5.8_26</v>
      </c>
      <c r="B99" s="1">
        <v>1</v>
      </c>
      <c r="C99">
        <v>1.38</v>
      </c>
      <c r="D99">
        <v>4199</v>
      </c>
      <c r="E99">
        <v>0.79</v>
      </c>
      <c r="F99">
        <v>5.58</v>
      </c>
      <c r="G99">
        <v>5.58</v>
      </c>
      <c r="H99">
        <v>7.69</v>
      </c>
      <c r="I99">
        <v>7.69</v>
      </c>
      <c r="J99">
        <v>5.8</v>
      </c>
      <c r="K99">
        <v>15456.07</v>
      </c>
      <c r="L99">
        <v>26</v>
      </c>
      <c r="M99">
        <v>1.89</v>
      </c>
      <c r="N99" t="s">
        <v>17</v>
      </c>
      <c r="O99">
        <v>95.11</v>
      </c>
      <c r="P99">
        <v>296.95999999999998</v>
      </c>
      <c r="Q99">
        <v>1</v>
      </c>
    </row>
    <row r="100" spans="1:17" x14ac:dyDescent="0.25">
      <c r="A100" t="str">
        <f t="shared" si="1"/>
        <v>0_5.9_26</v>
      </c>
      <c r="B100" s="1">
        <v>0</v>
      </c>
      <c r="C100">
        <v>1.42</v>
      </c>
      <c r="D100">
        <v>3993</v>
      </c>
      <c r="E100">
        <v>0.75</v>
      </c>
      <c r="F100">
        <v>3.83</v>
      </c>
      <c r="G100">
        <v>3.83</v>
      </c>
      <c r="H100">
        <v>5.43</v>
      </c>
      <c r="I100">
        <v>5.43</v>
      </c>
      <c r="J100">
        <v>5.9</v>
      </c>
      <c r="K100">
        <v>16000</v>
      </c>
      <c r="L100">
        <v>26</v>
      </c>
      <c r="M100">
        <v>0.47</v>
      </c>
      <c r="N100" t="s">
        <v>16</v>
      </c>
      <c r="O100">
        <v>100</v>
      </c>
      <c r="P100">
        <v>449.88</v>
      </c>
      <c r="Q100">
        <v>1</v>
      </c>
    </row>
    <row r="101" spans="1:17" x14ac:dyDescent="0.25">
      <c r="A101" t="str">
        <f t="shared" si="1"/>
        <v>1_5.9_26</v>
      </c>
      <c r="B101" s="1">
        <v>1</v>
      </c>
      <c r="C101">
        <v>1.38</v>
      </c>
      <c r="D101">
        <v>4299</v>
      </c>
      <c r="E101">
        <v>0.81</v>
      </c>
      <c r="F101">
        <v>5.37</v>
      </c>
      <c r="G101">
        <v>5.37</v>
      </c>
      <c r="H101">
        <v>7.38</v>
      </c>
      <c r="I101">
        <v>7.38</v>
      </c>
      <c r="J101">
        <v>5.9</v>
      </c>
      <c r="K101">
        <v>15750.08</v>
      </c>
      <c r="L101">
        <v>26</v>
      </c>
      <c r="M101">
        <v>1.48</v>
      </c>
      <c r="N101" t="s">
        <v>17</v>
      </c>
      <c r="O101">
        <v>98.4</v>
      </c>
      <c r="P101">
        <v>310.25</v>
      </c>
      <c r="Q101">
        <v>1</v>
      </c>
    </row>
    <row r="102" spans="1:17" x14ac:dyDescent="0.25">
      <c r="A102" t="str">
        <f t="shared" si="1"/>
        <v>0_5_30</v>
      </c>
      <c r="B102" s="1">
        <v>0</v>
      </c>
      <c r="C102">
        <v>1.38</v>
      </c>
      <c r="D102">
        <v>3868</v>
      </c>
      <c r="E102">
        <v>0.73</v>
      </c>
      <c r="F102">
        <v>2.35</v>
      </c>
      <c r="G102">
        <v>2.35</v>
      </c>
      <c r="H102">
        <v>3.24</v>
      </c>
      <c r="I102">
        <v>3.24</v>
      </c>
      <c r="J102">
        <v>5</v>
      </c>
      <c r="K102">
        <v>8665.34</v>
      </c>
      <c r="L102">
        <v>30</v>
      </c>
      <c r="M102">
        <v>1.76</v>
      </c>
      <c r="N102" t="s">
        <v>16</v>
      </c>
      <c r="O102">
        <v>100</v>
      </c>
      <c r="P102">
        <v>435.89</v>
      </c>
      <c r="Q102">
        <v>2</v>
      </c>
    </row>
    <row r="103" spans="1:17" x14ac:dyDescent="0.25">
      <c r="A103" t="str">
        <f t="shared" si="1"/>
        <v>1_5_30</v>
      </c>
      <c r="B103" s="1">
        <v>1</v>
      </c>
      <c r="C103">
        <v>2.42</v>
      </c>
      <c r="D103">
        <v>5439</v>
      </c>
      <c r="E103">
        <v>1.03</v>
      </c>
      <c r="F103">
        <v>3.18</v>
      </c>
      <c r="G103">
        <v>3.18</v>
      </c>
      <c r="H103">
        <v>7.7</v>
      </c>
      <c r="I103">
        <v>7.7</v>
      </c>
      <c r="J103">
        <v>5</v>
      </c>
      <c r="K103">
        <v>15737.34</v>
      </c>
      <c r="L103">
        <v>30</v>
      </c>
      <c r="M103">
        <v>2.7</v>
      </c>
      <c r="N103" t="s">
        <v>17</v>
      </c>
      <c r="O103">
        <v>22.02</v>
      </c>
      <c r="P103">
        <v>211.35</v>
      </c>
      <c r="Q103">
        <v>3</v>
      </c>
    </row>
    <row r="104" spans="1:17" x14ac:dyDescent="0.25">
      <c r="A104" t="str">
        <f t="shared" si="1"/>
        <v>0_5.1_30</v>
      </c>
      <c r="B104" s="1">
        <v>0</v>
      </c>
      <c r="C104">
        <v>1.38</v>
      </c>
      <c r="D104">
        <v>3863</v>
      </c>
      <c r="E104">
        <v>0.73</v>
      </c>
      <c r="F104">
        <v>2.36</v>
      </c>
      <c r="G104">
        <v>2.36</v>
      </c>
      <c r="H104">
        <v>3.24</v>
      </c>
      <c r="I104">
        <v>3.24</v>
      </c>
      <c r="J104">
        <v>5.0999999999999996</v>
      </c>
      <c r="K104">
        <v>8642.86</v>
      </c>
      <c r="L104">
        <v>30</v>
      </c>
      <c r="M104">
        <v>1.86</v>
      </c>
      <c r="N104" t="s">
        <v>16</v>
      </c>
      <c r="O104">
        <v>100</v>
      </c>
      <c r="P104">
        <v>435.32</v>
      </c>
      <c r="Q104">
        <v>2</v>
      </c>
    </row>
    <row r="105" spans="1:17" x14ac:dyDescent="0.25">
      <c r="A105" t="str">
        <f t="shared" si="1"/>
        <v>1_5.1_30</v>
      </c>
      <c r="B105" s="1">
        <v>1</v>
      </c>
      <c r="C105">
        <v>2.42</v>
      </c>
      <c r="D105">
        <v>5437</v>
      </c>
      <c r="E105">
        <v>1.03</v>
      </c>
      <c r="F105">
        <v>3.18</v>
      </c>
      <c r="G105">
        <v>3.18</v>
      </c>
      <c r="H105">
        <v>7.7</v>
      </c>
      <c r="I105">
        <v>7.7</v>
      </c>
      <c r="J105">
        <v>5.0999999999999996</v>
      </c>
      <c r="K105">
        <v>15727.88</v>
      </c>
      <c r="L105">
        <v>30</v>
      </c>
      <c r="M105">
        <v>2.6</v>
      </c>
      <c r="N105" t="s">
        <v>17</v>
      </c>
      <c r="O105">
        <v>22</v>
      </c>
      <c r="P105">
        <v>211.24</v>
      </c>
      <c r="Q105">
        <v>3</v>
      </c>
    </row>
    <row r="106" spans="1:17" x14ac:dyDescent="0.25">
      <c r="A106" t="str">
        <f t="shared" si="1"/>
        <v>0_5.2_30</v>
      </c>
      <c r="B106" s="1">
        <v>0</v>
      </c>
      <c r="C106">
        <v>1.55</v>
      </c>
      <c r="D106">
        <v>3874</v>
      </c>
      <c r="E106">
        <v>0.73</v>
      </c>
      <c r="F106">
        <v>1.92</v>
      </c>
      <c r="G106">
        <v>1.92</v>
      </c>
      <c r="H106">
        <v>2.98</v>
      </c>
      <c r="I106">
        <v>2.98</v>
      </c>
      <c r="J106">
        <v>5.2</v>
      </c>
      <c r="K106">
        <v>7074.73</v>
      </c>
      <c r="L106">
        <v>30</v>
      </c>
      <c r="M106">
        <v>2.2200000000000002</v>
      </c>
      <c r="N106" t="s">
        <v>16</v>
      </c>
      <c r="O106">
        <v>73.739999999999995</v>
      </c>
      <c r="P106">
        <v>359.03</v>
      </c>
      <c r="Q106">
        <v>3</v>
      </c>
    </row>
    <row r="107" spans="1:17" x14ac:dyDescent="0.25">
      <c r="A107" t="str">
        <f t="shared" si="1"/>
        <v>1_5.2_30</v>
      </c>
      <c r="B107" s="1">
        <v>1</v>
      </c>
      <c r="C107">
        <v>1.78</v>
      </c>
      <c r="D107">
        <v>5340</v>
      </c>
      <c r="E107">
        <v>1.01</v>
      </c>
      <c r="F107">
        <v>2.92</v>
      </c>
      <c r="G107">
        <v>2.92</v>
      </c>
      <c r="H107">
        <v>5.2</v>
      </c>
      <c r="I107">
        <v>5.2</v>
      </c>
      <c r="J107">
        <v>5.2</v>
      </c>
      <c r="K107">
        <v>16000</v>
      </c>
      <c r="L107">
        <v>30</v>
      </c>
      <c r="M107">
        <v>0</v>
      </c>
      <c r="N107" t="s">
        <v>17</v>
      </c>
      <c r="O107">
        <v>81.73</v>
      </c>
      <c r="P107">
        <v>346.57</v>
      </c>
      <c r="Q107">
        <v>2</v>
      </c>
    </row>
    <row r="108" spans="1:17" x14ac:dyDescent="0.25">
      <c r="A108" t="str">
        <f t="shared" si="1"/>
        <v>0_5.3_30</v>
      </c>
      <c r="B108" s="1">
        <v>0</v>
      </c>
      <c r="C108">
        <v>1.71</v>
      </c>
      <c r="D108">
        <v>5143</v>
      </c>
      <c r="E108">
        <v>0.97</v>
      </c>
      <c r="F108">
        <v>1.79</v>
      </c>
      <c r="G108">
        <v>1.79</v>
      </c>
      <c r="H108">
        <v>3.07</v>
      </c>
      <c r="I108">
        <v>3.07</v>
      </c>
      <c r="J108">
        <v>5.3</v>
      </c>
      <c r="K108">
        <v>15317.19</v>
      </c>
      <c r="L108">
        <v>30</v>
      </c>
      <c r="M108">
        <v>2.23</v>
      </c>
      <c r="N108" t="s">
        <v>16</v>
      </c>
      <c r="O108">
        <v>100</v>
      </c>
      <c r="P108">
        <v>579.52</v>
      </c>
      <c r="Q108">
        <v>2</v>
      </c>
    </row>
    <row r="109" spans="1:17" x14ac:dyDescent="0.25">
      <c r="A109" t="str">
        <f t="shared" si="1"/>
        <v>1_5.3_30</v>
      </c>
      <c r="B109" s="1">
        <v>1</v>
      </c>
      <c r="C109">
        <v>1.79</v>
      </c>
      <c r="D109">
        <v>5288</v>
      </c>
      <c r="E109">
        <v>1</v>
      </c>
      <c r="F109">
        <v>3.01</v>
      </c>
      <c r="G109">
        <v>3.01</v>
      </c>
      <c r="H109">
        <v>5.39</v>
      </c>
      <c r="I109">
        <v>5.39</v>
      </c>
      <c r="J109">
        <v>5.3</v>
      </c>
      <c r="K109">
        <v>15999.5</v>
      </c>
      <c r="L109">
        <v>30</v>
      </c>
      <c r="M109">
        <v>0.09</v>
      </c>
      <c r="N109" t="s">
        <v>17</v>
      </c>
      <c r="O109">
        <v>78.900000000000006</v>
      </c>
      <c r="P109">
        <v>336.61</v>
      </c>
      <c r="Q109">
        <v>2</v>
      </c>
    </row>
    <row r="110" spans="1:17" x14ac:dyDescent="0.25">
      <c r="A110" t="str">
        <f t="shared" si="1"/>
        <v>0_5.4_30</v>
      </c>
      <c r="B110" s="1">
        <v>0</v>
      </c>
      <c r="C110">
        <v>1.66</v>
      </c>
      <c r="D110">
        <v>4972</v>
      </c>
      <c r="E110">
        <v>0.94</v>
      </c>
      <c r="F110">
        <v>1.85</v>
      </c>
      <c r="G110">
        <v>1.85</v>
      </c>
      <c r="H110">
        <v>3.07</v>
      </c>
      <c r="I110">
        <v>3.07</v>
      </c>
      <c r="J110">
        <v>5.4</v>
      </c>
      <c r="K110">
        <v>14315.26</v>
      </c>
      <c r="L110">
        <v>30</v>
      </c>
      <c r="M110">
        <v>2.33</v>
      </c>
      <c r="N110" t="s">
        <v>16</v>
      </c>
      <c r="O110">
        <v>100</v>
      </c>
      <c r="P110">
        <v>560.25</v>
      </c>
      <c r="Q110">
        <v>2</v>
      </c>
    </row>
    <row r="111" spans="1:17" x14ac:dyDescent="0.25">
      <c r="A111" t="str">
        <f t="shared" si="1"/>
        <v>1_5.4_30</v>
      </c>
      <c r="B111" s="1">
        <v>1</v>
      </c>
      <c r="C111">
        <v>1.8</v>
      </c>
      <c r="D111">
        <v>5286</v>
      </c>
      <c r="E111">
        <v>1</v>
      </c>
      <c r="F111">
        <v>3.01</v>
      </c>
      <c r="G111">
        <v>3.01</v>
      </c>
      <c r="H111">
        <v>5.4</v>
      </c>
      <c r="I111">
        <v>5.4</v>
      </c>
      <c r="J111">
        <v>5.4</v>
      </c>
      <c r="K111">
        <v>16000</v>
      </c>
      <c r="L111">
        <v>30</v>
      </c>
      <c r="M111">
        <v>0</v>
      </c>
      <c r="N111" t="s">
        <v>17</v>
      </c>
      <c r="O111">
        <v>78.81</v>
      </c>
      <c r="P111">
        <v>336.28</v>
      </c>
      <c r="Q111">
        <v>2</v>
      </c>
    </row>
    <row r="112" spans="1:17" x14ac:dyDescent="0.25">
      <c r="A112" t="str">
        <f t="shared" si="1"/>
        <v>0_5.5_30</v>
      </c>
      <c r="B112" s="1">
        <v>0</v>
      </c>
      <c r="C112">
        <v>1.52</v>
      </c>
      <c r="D112">
        <v>4467</v>
      </c>
      <c r="E112">
        <v>0.84</v>
      </c>
      <c r="F112">
        <v>2.0499999999999998</v>
      </c>
      <c r="G112">
        <v>2.0499999999999998</v>
      </c>
      <c r="H112">
        <v>3.11</v>
      </c>
      <c r="I112">
        <v>3.11</v>
      </c>
      <c r="J112">
        <v>5.5</v>
      </c>
      <c r="K112">
        <v>11554.19</v>
      </c>
      <c r="L112">
        <v>30</v>
      </c>
      <c r="M112">
        <v>2.39</v>
      </c>
      <c r="N112" t="s">
        <v>16</v>
      </c>
      <c r="O112">
        <v>100</v>
      </c>
      <c r="P112">
        <v>503.31</v>
      </c>
      <c r="Q112">
        <v>2</v>
      </c>
    </row>
    <row r="113" spans="1:17" x14ac:dyDescent="0.25">
      <c r="A113" t="str">
        <f t="shared" si="1"/>
        <v>1_5.5_30</v>
      </c>
      <c r="B113" s="1">
        <v>1</v>
      </c>
      <c r="C113">
        <v>1.8</v>
      </c>
      <c r="D113">
        <v>5260</v>
      </c>
      <c r="E113">
        <v>0.99</v>
      </c>
      <c r="F113">
        <v>3.05</v>
      </c>
      <c r="G113">
        <v>3.05</v>
      </c>
      <c r="H113">
        <v>5.5</v>
      </c>
      <c r="I113">
        <v>5.5</v>
      </c>
      <c r="J113">
        <v>5.5</v>
      </c>
      <c r="K113">
        <v>16000</v>
      </c>
      <c r="L113">
        <v>30</v>
      </c>
      <c r="M113">
        <v>0</v>
      </c>
      <c r="N113" t="s">
        <v>17</v>
      </c>
      <c r="O113">
        <v>77.37</v>
      </c>
      <c r="P113">
        <v>331.35</v>
      </c>
      <c r="Q113">
        <v>2</v>
      </c>
    </row>
    <row r="114" spans="1:17" x14ac:dyDescent="0.25">
      <c r="A114" t="str">
        <f t="shared" si="1"/>
        <v>0_5.6_30</v>
      </c>
      <c r="B114" s="1">
        <v>0</v>
      </c>
      <c r="C114">
        <v>1.46</v>
      </c>
      <c r="D114">
        <v>4220</v>
      </c>
      <c r="E114">
        <v>0.8</v>
      </c>
      <c r="F114">
        <v>2.17</v>
      </c>
      <c r="G114">
        <v>2.17</v>
      </c>
      <c r="H114">
        <v>3.15</v>
      </c>
      <c r="I114">
        <v>3.15</v>
      </c>
      <c r="J114">
        <v>5.6</v>
      </c>
      <c r="K114">
        <v>10315.15</v>
      </c>
      <c r="L114">
        <v>30</v>
      </c>
      <c r="M114">
        <v>2.4500000000000002</v>
      </c>
      <c r="N114" t="s">
        <v>16</v>
      </c>
      <c r="O114">
        <v>99.97</v>
      </c>
      <c r="P114">
        <v>475.46</v>
      </c>
      <c r="Q114">
        <v>2</v>
      </c>
    </row>
    <row r="115" spans="1:17" x14ac:dyDescent="0.25">
      <c r="A115" t="str">
        <f t="shared" si="1"/>
        <v>1_5.6_30</v>
      </c>
      <c r="B115" s="1">
        <v>1</v>
      </c>
      <c r="C115">
        <v>1.81</v>
      </c>
      <c r="D115">
        <v>5235</v>
      </c>
      <c r="E115">
        <v>0.99</v>
      </c>
      <c r="F115">
        <v>3.09</v>
      </c>
      <c r="G115">
        <v>3.09</v>
      </c>
      <c r="H115">
        <v>5.6</v>
      </c>
      <c r="I115">
        <v>5.6</v>
      </c>
      <c r="J115">
        <v>5.6</v>
      </c>
      <c r="K115">
        <v>16000</v>
      </c>
      <c r="L115">
        <v>30</v>
      </c>
      <c r="M115">
        <v>0</v>
      </c>
      <c r="N115" t="s">
        <v>17</v>
      </c>
      <c r="O115">
        <v>75.959999999999994</v>
      </c>
      <c r="P115">
        <v>326.52999999999997</v>
      </c>
      <c r="Q115">
        <v>2</v>
      </c>
    </row>
    <row r="116" spans="1:17" x14ac:dyDescent="0.25">
      <c r="A116" t="str">
        <f t="shared" si="1"/>
        <v>0_5.7_30</v>
      </c>
      <c r="B116" s="1">
        <v>0</v>
      </c>
      <c r="C116">
        <v>1.41</v>
      </c>
      <c r="D116">
        <v>4037</v>
      </c>
      <c r="E116">
        <v>0.76</v>
      </c>
      <c r="F116">
        <v>2.2599999999999998</v>
      </c>
      <c r="G116">
        <v>2.2599999999999998</v>
      </c>
      <c r="H116">
        <v>3.19</v>
      </c>
      <c r="I116">
        <v>3.19</v>
      </c>
      <c r="J116">
        <v>5.7</v>
      </c>
      <c r="K116">
        <v>9438.06</v>
      </c>
      <c r="L116">
        <v>30</v>
      </c>
      <c r="M116">
        <v>2.5099999999999998</v>
      </c>
      <c r="N116" t="s">
        <v>16</v>
      </c>
      <c r="O116">
        <v>99.94</v>
      </c>
      <c r="P116">
        <v>454.65</v>
      </c>
      <c r="Q116">
        <v>2</v>
      </c>
    </row>
    <row r="117" spans="1:17" x14ac:dyDescent="0.25">
      <c r="A117" t="str">
        <f t="shared" si="1"/>
        <v>1_5.7_30</v>
      </c>
      <c r="B117" s="1">
        <v>1</v>
      </c>
      <c r="C117">
        <v>1.82</v>
      </c>
      <c r="D117">
        <v>5210</v>
      </c>
      <c r="E117">
        <v>0.98</v>
      </c>
      <c r="F117">
        <v>3.13</v>
      </c>
      <c r="G117">
        <v>3.13</v>
      </c>
      <c r="H117">
        <v>5.7</v>
      </c>
      <c r="I117">
        <v>5.7</v>
      </c>
      <c r="J117">
        <v>5.7</v>
      </c>
      <c r="K117">
        <v>16000</v>
      </c>
      <c r="L117">
        <v>30</v>
      </c>
      <c r="M117">
        <v>0</v>
      </c>
      <c r="N117" t="s">
        <v>17</v>
      </c>
      <c r="O117">
        <v>74.56</v>
      </c>
      <c r="P117">
        <v>321.83</v>
      </c>
      <c r="Q117">
        <v>2</v>
      </c>
    </row>
    <row r="118" spans="1:17" x14ac:dyDescent="0.25">
      <c r="A118" t="str">
        <f t="shared" si="1"/>
        <v>0_5.8_30</v>
      </c>
      <c r="B118" s="1">
        <v>0</v>
      </c>
      <c r="C118">
        <v>1.38</v>
      </c>
      <c r="D118">
        <v>3876</v>
      </c>
      <c r="E118">
        <v>0.73</v>
      </c>
      <c r="F118">
        <v>2.35</v>
      </c>
      <c r="G118">
        <v>2.35</v>
      </c>
      <c r="H118">
        <v>3.24</v>
      </c>
      <c r="I118">
        <v>3.24</v>
      </c>
      <c r="J118">
        <v>5.8</v>
      </c>
      <c r="K118">
        <v>8699.16</v>
      </c>
      <c r="L118">
        <v>30</v>
      </c>
      <c r="M118">
        <v>2.56</v>
      </c>
      <c r="N118" t="s">
        <v>16</v>
      </c>
      <c r="O118">
        <v>99.99</v>
      </c>
      <c r="P118">
        <v>436.72</v>
      </c>
      <c r="Q118">
        <v>2</v>
      </c>
    </row>
    <row r="119" spans="1:17" x14ac:dyDescent="0.25">
      <c r="A119" t="str">
        <f t="shared" si="1"/>
        <v>1_5.8_30</v>
      </c>
      <c r="B119" s="1">
        <v>1</v>
      </c>
      <c r="C119">
        <v>1.83</v>
      </c>
      <c r="D119">
        <v>5187</v>
      </c>
      <c r="E119">
        <v>0.98</v>
      </c>
      <c r="F119">
        <v>3.18</v>
      </c>
      <c r="G119">
        <v>3.18</v>
      </c>
      <c r="H119">
        <v>5.8</v>
      </c>
      <c r="I119">
        <v>5.8</v>
      </c>
      <c r="J119">
        <v>5.8</v>
      </c>
      <c r="K119">
        <v>16000</v>
      </c>
      <c r="L119">
        <v>30</v>
      </c>
      <c r="M119">
        <v>0</v>
      </c>
      <c r="N119" t="s">
        <v>17</v>
      </c>
      <c r="O119">
        <v>73.180000000000007</v>
      </c>
      <c r="P119">
        <v>317.24</v>
      </c>
      <c r="Q119">
        <v>2</v>
      </c>
    </row>
    <row r="120" spans="1:17" x14ac:dyDescent="0.25">
      <c r="A120" t="str">
        <f t="shared" si="1"/>
        <v>0_5.9_30</v>
      </c>
      <c r="B120" s="1">
        <v>0</v>
      </c>
      <c r="C120">
        <v>1.35</v>
      </c>
      <c r="D120">
        <v>3745</v>
      </c>
      <c r="E120">
        <v>0.71</v>
      </c>
      <c r="F120">
        <v>2.4300000000000002</v>
      </c>
      <c r="G120">
        <v>2.4300000000000002</v>
      </c>
      <c r="H120">
        <v>3.28</v>
      </c>
      <c r="I120">
        <v>3.28</v>
      </c>
      <c r="J120">
        <v>5.9</v>
      </c>
      <c r="K120">
        <v>8122.26</v>
      </c>
      <c r="L120">
        <v>30</v>
      </c>
      <c r="M120">
        <v>2.62</v>
      </c>
      <c r="N120" t="s">
        <v>16</v>
      </c>
      <c r="O120">
        <v>99.98</v>
      </c>
      <c r="P120">
        <v>421.92</v>
      </c>
      <c r="Q120">
        <v>2</v>
      </c>
    </row>
    <row r="121" spans="1:17" x14ac:dyDescent="0.25">
      <c r="A121" t="str">
        <f t="shared" si="1"/>
        <v>1_5.9_30</v>
      </c>
      <c r="B121" s="1">
        <v>1</v>
      </c>
      <c r="C121">
        <v>1.83</v>
      </c>
      <c r="D121">
        <v>5163</v>
      </c>
      <c r="E121">
        <v>0.97</v>
      </c>
      <c r="F121">
        <v>3.22</v>
      </c>
      <c r="G121">
        <v>3.22</v>
      </c>
      <c r="H121">
        <v>5.9</v>
      </c>
      <c r="I121">
        <v>5.9</v>
      </c>
      <c r="J121">
        <v>5.9</v>
      </c>
      <c r="K121">
        <v>16000</v>
      </c>
      <c r="L121">
        <v>30</v>
      </c>
      <c r="M121">
        <v>0</v>
      </c>
      <c r="N121" t="s">
        <v>17</v>
      </c>
      <c r="O121">
        <v>71.819999999999993</v>
      </c>
      <c r="P121">
        <v>312.76</v>
      </c>
      <c r="Q121">
        <v>2</v>
      </c>
    </row>
    <row r="122" spans="1:17" x14ac:dyDescent="0.25">
      <c r="A122" t="str">
        <f t="shared" si="1"/>
        <v>0_5_34</v>
      </c>
      <c r="B122" s="1">
        <v>0</v>
      </c>
      <c r="C122">
        <v>1.32</v>
      </c>
      <c r="D122">
        <v>3565</v>
      </c>
      <c r="E122">
        <v>0.67</v>
      </c>
      <c r="F122">
        <v>2.86</v>
      </c>
      <c r="G122">
        <v>2.86</v>
      </c>
      <c r="H122">
        <v>3.77</v>
      </c>
      <c r="I122">
        <v>3.77</v>
      </c>
      <c r="J122">
        <v>5</v>
      </c>
      <c r="K122">
        <v>8340.3700000000008</v>
      </c>
      <c r="L122">
        <v>34</v>
      </c>
      <c r="M122">
        <v>1.23</v>
      </c>
      <c r="N122" t="s">
        <v>16</v>
      </c>
      <c r="O122">
        <v>100</v>
      </c>
      <c r="P122">
        <v>401.69</v>
      </c>
      <c r="Q122">
        <v>2</v>
      </c>
    </row>
    <row r="123" spans="1:17" x14ac:dyDescent="0.25">
      <c r="A123" t="str">
        <f t="shared" si="1"/>
        <v>1_5_34</v>
      </c>
      <c r="B123" s="1">
        <v>1</v>
      </c>
      <c r="C123">
        <v>1.71</v>
      </c>
      <c r="D123">
        <v>4903</v>
      </c>
      <c r="E123">
        <v>0.93</v>
      </c>
      <c r="F123">
        <v>3.71</v>
      </c>
      <c r="G123">
        <v>3.71</v>
      </c>
      <c r="H123">
        <v>6.35</v>
      </c>
      <c r="I123">
        <v>6.35</v>
      </c>
      <c r="J123">
        <v>5</v>
      </c>
      <c r="K123">
        <v>16000</v>
      </c>
      <c r="L123">
        <v>34</v>
      </c>
      <c r="M123">
        <v>1.35</v>
      </c>
      <c r="N123" t="s">
        <v>17</v>
      </c>
      <c r="O123">
        <v>75.11</v>
      </c>
      <c r="P123">
        <v>304.05</v>
      </c>
      <c r="Q123">
        <v>2</v>
      </c>
    </row>
    <row r="124" spans="1:17" x14ac:dyDescent="0.25">
      <c r="A124" t="str">
        <f t="shared" si="1"/>
        <v>0_5.1_34</v>
      </c>
      <c r="B124" s="1">
        <v>0</v>
      </c>
      <c r="C124">
        <v>1.65</v>
      </c>
      <c r="D124">
        <v>4938</v>
      </c>
      <c r="E124">
        <v>0.93</v>
      </c>
      <c r="F124">
        <v>2.1</v>
      </c>
      <c r="G124">
        <v>2.1</v>
      </c>
      <c r="H124">
        <v>3.47</v>
      </c>
      <c r="I124">
        <v>3.47</v>
      </c>
      <c r="J124">
        <v>5.0999999999999996</v>
      </c>
      <c r="K124">
        <v>16000</v>
      </c>
      <c r="L124">
        <v>34</v>
      </c>
      <c r="M124">
        <v>1.63</v>
      </c>
      <c r="N124" t="s">
        <v>16</v>
      </c>
      <c r="O124">
        <v>100</v>
      </c>
      <c r="P124">
        <v>556.37</v>
      </c>
      <c r="Q124">
        <v>2</v>
      </c>
    </row>
    <row r="125" spans="1:17" x14ac:dyDescent="0.25">
      <c r="A125" t="str">
        <f t="shared" si="1"/>
        <v>1_5.1_34</v>
      </c>
      <c r="B125" s="1">
        <v>1</v>
      </c>
      <c r="C125">
        <v>1.67</v>
      </c>
      <c r="D125">
        <v>5059</v>
      </c>
      <c r="E125">
        <v>0.95</v>
      </c>
      <c r="F125">
        <v>3.41</v>
      </c>
      <c r="G125">
        <v>3.41</v>
      </c>
      <c r="H125">
        <v>5.68</v>
      </c>
      <c r="I125">
        <v>5.68</v>
      </c>
      <c r="J125">
        <v>5.0999999999999996</v>
      </c>
      <c r="K125">
        <v>15999.96</v>
      </c>
      <c r="L125">
        <v>34</v>
      </c>
      <c r="M125">
        <v>0.57999999999999996</v>
      </c>
      <c r="N125" t="s">
        <v>17</v>
      </c>
      <c r="O125">
        <v>84.07</v>
      </c>
      <c r="P125">
        <v>333.46</v>
      </c>
      <c r="Q125">
        <v>2</v>
      </c>
    </row>
    <row r="126" spans="1:17" x14ac:dyDescent="0.25">
      <c r="A126" t="str">
        <f t="shared" si="1"/>
        <v>0_5.2_34</v>
      </c>
      <c r="B126" s="1">
        <v>0</v>
      </c>
      <c r="C126">
        <v>1.65</v>
      </c>
      <c r="D126">
        <v>4938</v>
      </c>
      <c r="E126">
        <v>0.93</v>
      </c>
      <c r="F126">
        <v>2.1</v>
      </c>
      <c r="G126">
        <v>2.1</v>
      </c>
      <c r="H126">
        <v>3.47</v>
      </c>
      <c r="I126">
        <v>3.47</v>
      </c>
      <c r="J126">
        <v>5.2</v>
      </c>
      <c r="K126">
        <v>16000</v>
      </c>
      <c r="L126">
        <v>34</v>
      </c>
      <c r="M126">
        <v>1.73</v>
      </c>
      <c r="N126" t="s">
        <v>16</v>
      </c>
      <c r="O126">
        <v>100</v>
      </c>
      <c r="P126">
        <v>556.37</v>
      </c>
      <c r="Q126">
        <v>2</v>
      </c>
    </row>
    <row r="127" spans="1:17" x14ac:dyDescent="0.25">
      <c r="A127" t="str">
        <f t="shared" si="1"/>
        <v>1_5.2_34</v>
      </c>
      <c r="B127" s="1">
        <v>1</v>
      </c>
      <c r="C127">
        <v>1.67</v>
      </c>
      <c r="D127">
        <v>5059</v>
      </c>
      <c r="E127">
        <v>0.95</v>
      </c>
      <c r="F127">
        <v>3.41</v>
      </c>
      <c r="G127">
        <v>3.41</v>
      </c>
      <c r="H127">
        <v>5.68</v>
      </c>
      <c r="I127">
        <v>5.68</v>
      </c>
      <c r="J127">
        <v>5.2</v>
      </c>
      <c r="K127">
        <v>16000</v>
      </c>
      <c r="L127">
        <v>34</v>
      </c>
      <c r="M127">
        <v>0.48</v>
      </c>
      <c r="N127" t="s">
        <v>17</v>
      </c>
      <c r="O127">
        <v>84.07</v>
      </c>
      <c r="P127">
        <v>333.46</v>
      </c>
      <c r="Q127">
        <v>2</v>
      </c>
    </row>
    <row r="128" spans="1:17" x14ac:dyDescent="0.25">
      <c r="A128" t="str">
        <f t="shared" si="1"/>
        <v>0_5.3_34</v>
      </c>
      <c r="B128" s="1">
        <v>0</v>
      </c>
      <c r="C128">
        <v>1.37</v>
      </c>
      <c r="D128">
        <v>3841</v>
      </c>
      <c r="E128">
        <v>0.72</v>
      </c>
      <c r="F128">
        <v>2.67</v>
      </c>
      <c r="G128">
        <v>2.67</v>
      </c>
      <c r="H128">
        <v>3.66</v>
      </c>
      <c r="I128">
        <v>3.66</v>
      </c>
      <c r="J128">
        <v>5.3</v>
      </c>
      <c r="K128">
        <v>9681.7800000000007</v>
      </c>
      <c r="L128">
        <v>34</v>
      </c>
      <c r="M128">
        <v>1.64</v>
      </c>
      <c r="N128" t="s">
        <v>16</v>
      </c>
      <c r="O128">
        <v>100</v>
      </c>
      <c r="P128">
        <v>432.79</v>
      </c>
      <c r="Q128">
        <v>2</v>
      </c>
    </row>
    <row r="129" spans="1:17" x14ac:dyDescent="0.25">
      <c r="A129" t="str">
        <f t="shared" si="1"/>
        <v>1_5.3_34</v>
      </c>
      <c r="B129" s="1">
        <v>1</v>
      </c>
      <c r="C129">
        <v>2.14</v>
      </c>
      <c r="D129">
        <v>5019</v>
      </c>
      <c r="E129">
        <v>0.95</v>
      </c>
      <c r="F129">
        <v>3.6</v>
      </c>
      <c r="G129">
        <v>3.6</v>
      </c>
      <c r="H129">
        <v>7.7</v>
      </c>
      <c r="I129">
        <v>7.7</v>
      </c>
      <c r="J129">
        <v>5.3</v>
      </c>
      <c r="K129">
        <v>14704.99</v>
      </c>
      <c r="L129">
        <v>34</v>
      </c>
      <c r="M129">
        <v>2.4</v>
      </c>
      <c r="N129" t="s">
        <v>17</v>
      </c>
      <c r="O129">
        <v>28.58</v>
      </c>
      <c r="P129">
        <v>209.38</v>
      </c>
      <c r="Q129">
        <v>3</v>
      </c>
    </row>
    <row r="130" spans="1:17" x14ac:dyDescent="0.25">
      <c r="A130" t="str">
        <f t="shared" si="1"/>
        <v>0_5.4_34</v>
      </c>
      <c r="B130" s="1">
        <v>0</v>
      </c>
      <c r="C130">
        <v>1.42</v>
      </c>
      <c r="D130">
        <v>4067</v>
      </c>
      <c r="E130">
        <v>0.77</v>
      </c>
      <c r="F130">
        <v>2.5299999999999998</v>
      </c>
      <c r="G130">
        <v>2.5299999999999998</v>
      </c>
      <c r="H130">
        <v>3.6</v>
      </c>
      <c r="I130">
        <v>3.6</v>
      </c>
      <c r="J130">
        <v>5.4</v>
      </c>
      <c r="K130">
        <v>10853.66</v>
      </c>
      <c r="L130">
        <v>34</v>
      </c>
      <c r="M130">
        <v>1.8</v>
      </c>
      <c r="N130" t="s">
        <v>16</v>
      </c>
      <c r="O130">
        <v>100</v>
      </c>
      <c r="P130">
        <v>458.24</v>
      </c>
      <c r="Q130">
        <v>2</v>
      </c>
    </row>
    <row r="131" spans="1:17" x14ac:dyDescent="0.25">
      <c r="A131" t="str">
        <f t="shared" ref="A131:A194" si="2">B131&amp;"_"&amp;J131&amp;"_"&amp;L131</f>
        <v>1_5.4_34</v>
      </c>
      <c r="B131" s="1">
        <v>1</v>
      </c>
      <c r="C131">
        <v>2.1800000000000002</v>
      </c>
      <c r="D131">
        <v>5097</v>
      </c>
      <c r="E131">
        <v>0.96</v>
      </c>
      <c r="F131">
        <v>3.54</v>
      </c>
      <c r="G131">
        <v>3.54</v>
      </c>
      <c r="H131">
        <v>7.7</v>
      </c>
      <c r="I131">
        <v>7.7</v>
      </c>
      <c r="J131">
        <v>5.4</v>
      </c>
      <c r="K131">
        <v>15126.01</v>
      </c>
      <c r="L131">
        <v>34</v>
      </c>
      <c r="M131">
        <v>2.2999999999999998</v>
      </c>
      <c r="N131" t="s">
        <v>17</v>
      </c>
      <c r="O131">
        <v>29.09</v>
      </c>
      <c r="P131">
        <v>213.77</v>
      </c>
      <c r="Q131">
        <v>3</v>
      </c>
    </row>
    <row r="132" spans="1:17" x14ac:dyDescent="0.25">
      <c r="A132" t="str">
        <f t="shared" si="2"/>
        <v>0_5.5_34</v>
      </c>
      <c r="B132" s="1">
        <v>0</v>
      </c>
      <c r="C132">
        <v>1.48</v>
      </c>
      <c r="D132">
        <v>3649</v>
      </c>
      <c r="E132">
        <v>0.69</v>
      </c>
      <c r="F132">
        <v>2.29</v>
      </c>
      <c r="G132">
        <v>2.29</v>
      </c>
      <c r="H132">
        <v>3.39</v>
      </c>
      <c r="I132">
        <v>3.39</v>
      </c>
      <c r="J132">
        <v>5.5</v>
      </c>
      <c r="K132">
        <v>7084.99</v>
      </c>
      <c r="L132">
        <v>34</v>
      </c>
      <c r="M132">
        <v>2.11</v>
      </c>
      <c r="N132" t="s">
        <v>16</v>
      </c>
      <c r="O132">
        <v>74.22</v>
      </c>
      <c r="P132">
        <v>339.53</v>
      </c>
      <c r="Q132">
        <v>3</v>
      </c>
    </row>
    <row r="133" spans="1:17" x14ac:dyDescent="0.25">
      <c r="A133" t="str">
        <f t="shared" si="2"/>
        <v>1_5.5_34</v>
      </c>
      <c r="B133" s="1">
        <v>1</v>
      </c>
      <c r="C133">
        <v>1.65</v>
      </c>
      <c r="D133">
        <v>5106</v>
      </c>
      <c r="E133">
        <v>0.96</v>
      </c>
      <c r="F133">
        <v>3.33</v>
      </c>
      <c r="G133">
        <v>3.33</v>
      </c>
      <c r="H133">
        <v>5.5</v>
      </c>
      <c r="I133">
        <v>5.5</v>
      </c>
      <c r="J133">
        <v>5.5</v>
      </c>
      <c r="K133">
        <v>16000</v>
      </c>
      <c r="L133">
        <v>34</v>
      </c>
      <c r="M133">
        <v>0</v>
      </c>
      <c r="N133" t="s">
        <v>17</v>
      </c>
      <c r="O133">
        <v>86.58</v>
      </c>
      <c r="P133">
        <v>342.15</v>
      </c>
      <c r="Q133">
        <v>2</v>
      </c>
    </row>
    <row r="134" spans="1:17" x14ac:dyDescent="0.25">
      <c r="A134" t="str">
        <f t="shared" si="2"/>
        <v>0_5.6_34</v>
      </c>
      <c r="B134" s="1">
        <v>0</v>
      </c>
      <c r="C134">
        <v>1.38</v>
      </c>
      <c r="D134">
        <v>3862</v>
      </c>
      <c r="E134">
        <v>0.73</v>
      </c>
      <c r="F134">
        <v>2.65</v>
      </c>
      <c r="G134">
        <v>2.65</v>
      </c>
      <c r="H134">
        <v>3.66</v>
      </c>
      <c r="I134">
        <v>3.66</v>
      </c>
      <c r="J134">
        <v>5.6</v>
      </c>
      <c r="K134">
        <v>9789.44</v>
      </c>
      <c r="L134">
        <v>34</v>
      </c>
      <c r="M134">
        <v>1.94</v>
      </c>
      <c r="N134" t="s">
        <v>16</v>
      </c>
      <c r="O134">
        <v>100</v>
      </c>
      <c r="P134">
        <v>435.19</v>
      </c>
      <c r="Q134">
        <v>2</v>
      </c>
    </row>
    <row r="135" spans="1:17" x14ac:dyDescent="0.25">
      <c r="A135" t="str">
        <f t="shared" si="2"/>
        <v>1_5.6_34</v>
      </c>
      <c r="B135" s="1">
        <v>1</v>
      </c>
      <c r="C135">
        <v>2.14</v>
      </c>
      <c r="D135">
        <v>5027</v>
      </c>
      <c r="E135">
        <v>0.95</v>
      </c>
      <c r="F135">
        <v>3.6</v>
      </c>
      <c r="G135">
        <v>3.6</v>
      </c>
      <c r="H135">
        <v>7.7</v>
      </c>
      <c r="I135">
        <v>7.7</v>
      </c>
      <c r="J135">
        <v>5.6</v>
      </c>
      <c r="K135">
        <v>14748.84</v>
      </c>
      <c r="L135">
        <v>34</v>
      </c>
      <c r="M135">
        <v>2.1</v>
      </c>
      <c r="N135" t="s">
        <v>17</v>
      </c>
      <c r="O135">
        <v>28.63</v>
      </c>
      <c r="P135">
        <v>209.83</v>
      </c>
      <c r="Q135">
        <v>3</v>
      </c>
    </row>
    <row r="136" spans="1:17" x14ac:dyDescent="0.25">
      <c r="A136" t="str">
        <f t="shared" si="2"/>
        <v>0_5.7_34</v>
      </c>
      <c r="B136" s="1">
        <v>0</v>
      </c>
      <c r="C136">
        <v>1.6</v>
      </c>
      <c r="D136">
        <v>4770</v>
      </c>
      <c r="E136">
        <v>0.9</v>
      </c>
      <c r="F136">
        <v>2.17</v>
      </c>
      <c r="G136">
        <v>2.17</v>
      </c>
      <c r="H136">
        <v>3.48</v>
      </c>
      <c r="I136">
        <v>3.48</v>
      </c>
      <c r="J136">
        <v>5.7</v>
      </c>
      <c r="K136">
        <v>14930.01</v>
      </c>
      <c r="L136">
        <v>34</v>
      </c>
      <c r="M136">
        <v>2.2200000000000002</v>
      </c>
      <c r="N136" t="s">
        <v>16</v>
      </c>
      <c r="O136">
        <v>99.99</v>
      </c>
      <c r="P136">
        <v>537.38</v>
      </c>
      <c r="Q136">
        <v>2</v>
      </c>
    </row>
    <row r="137" spans="1:17" x14ac:dyDescent="0.25">
      <c r="A137" t="str">
        <f t="shared" si="2"/>
        <v>1_5.7_34</v>
      </c>
      <c r="B137" s="1">
        <v>1</v>
      </c>
      <c r="C137">
        <v>1.67</v>
      </c>
      <c r="D137">
        <v>5053</v>
      </c>
      <c r="E137">
        <v>0.95</v>
      </c>
      <c r="F137">
        <v>3.42</v>
      </c>
      <c r="G137">
        <v>3.42</v>
      </c>
      <c r="H137">
        <v>5.7</v>
      </c>
      <c r="I137">
        <v>5.7</v>
      </c>
      <c r="J137">
        <v>5.7</v>
      </c>
      <c r="K137">
        <v>16000</v>
      </c>
      <c r="L137">
        <v>34</v>
      </c>
      <c r="M137">
        <v>0</v>
      </c>
      <c r="N137" t="s">
        <v>17</v>
      </c>
      <c r="O137">
        <v>83.76</v>
      </c>
      <c r="P137">
        <v>332.4</v>
      </c>
      <c r="Q137">
        <v>2</v>
      </c>
    </row>
    <row r="138" spans="1:17" x14ac:dyDescent="0.25">
      <c r="A138" t="str">
        <f t="shared" si="2"/>
        <v>0_5.8_34</v>
      </c>
      <c r="B138" s="1">
        <v>0</v>
      </c>
      <c r="C138">
        <v>1.53</v>
      </c>
      <c r="D138">
        <v>3712</v>
      </c>
      <c r="E138">
        <v>0.7</v>
      </c>
      <c r="F138">
        <v>2.31</v>
      </c>
      <c r="G138">
        <v>2.31</v>
      </c>
      <c r="H138">
        <v>3.52</v>
      </c>
      <c r="I138">
        <v>3.52</v>
      </c>
      <c r="J138">
        <v>5.8</v>
      </c>
      <c r="K138">
        <v>7543.59</v>
      </c>
      <c r="L138">
        <v>34</v>
      </c>
      <c r="M138">
        <v>2.2799999999999998</v>
      </c>
      <c r="N138" t="s">
        <v>16</v>
      </c>
      <c r="O138">
        <v>70.95</v>
      </c>
      <c r="P138">
        <v>336.14</v>
      </c>
      <c r="Q138">
        <v>3</v>
      </c>
    </row>
    <row r="139" spans="1:17" x14ac:dyDescent="0.25">
      <c r="A139" t="str">
        <f t="shared" si="2"/>
        <v>1_5.8_34</v>
      </c>
      <c r="B139" s="1">
        <v>1</v>
      </c>
      <c r="C139">
        <v>1.67</v>
      </c>
      <c r="D139">
        <v>5028</v>
      </c>
      <c r="E139">
        <v>0.95</v>
      </c>
      <c r="F139">
        <v>3.46</v>
      </c>
      <c r="G139">
        <v>3.46</v>
      </c>
      <c r="H139">
        <v>5.8</v>
      </c>
      <c r="I139">
        <v>5.8</v>
      </c>
      <c r="J139">
        <v>5.8</v>
      </c>
      <c r="K139">
        <v>16000</v>
      </c>
      <c r="L139">
        <v>34</v>
      </c>
      <c r="M139">
        <v>0</v>
      </c>
      <c r="N139" t="s">
        <v>17</v>
      </c>
      <c r="O139">
        <v>82.38</v>
      </c>
      <c r="P139">
        <v>327.73</v>
      </c>
      <c r="Q139">
        <v>2</v>
      </c>
    </row>
    <row r="140" spans="1:17" x14ac:dyDescent="0.25">
      <c r="A140" t="str">
        <f t="shared" si="2"/>
        <v>0_5.9_34</v>
      </c>
      <c r="B140" s="1">
        <v>0</v>
      </c>
      <c r="C140">
        <v>1.45</v>
      </c>
      <c r="D140">
        <v>4173</v>
      </c>
      <c r="E140">
        <v>0.79</v>
      </c>
      <c r="F140">
        <v>2.4700000000000002</v>
      </c>
      <c r="G140">
        <v>2.4700000000000002</v>
      </c>
      <c r="H140">
        <v>3.57</v>
      </c>
      <c r="I140">
        <v>3.57</v>
      </c>
      <c r="J140">
        <v>5.9</v>
      </c>
      <c r="K140">
        <v>11426.56</v>
      </c>
      <c r="L140">
        <v>34</v>
      </c>
      <c r="M140">
        <v>2.33</v>
      </c>
      <c r="N140" t="s">
        <v>16</v>
      </c>
      <c r="O140">
        <v>99.98</v>
      </c>
      <c r="P140">
        <v>470.08</v>
      </c>
      <c r="Q140">
        <v>2</v>
      </c>
    </row>
    <row r="141" spans="1:17" x14ac:dyDescent="0.25">
      <c r="A141" t="str">
        <f t="shared" si="2"/>
        <v>1_5.9_34</v>
      </c>
      <c r="B141" s="1">
        <v>1</v>
      </c>
      <c r="C141">
        <v>1.68</v>
      </c>
      <c r="D141">
        <v>5004</v>
      </c>
      <c r="E141">
        <v>0.94</v>
      </c>
      <c r="F141">
        <v>3.51</v>
      </c>
      <c r="G141">
        <v>3.51</v>
      </c>
      <c r="H141">
        <v>5.9</v>
      </c>
      <c r="I141">
        <v>5.9</v>
      </c>
      <c r="J141">
        <v>5.9</v>
      </c>
      <c r="K141">
        <v>16000</v>
      </c>
      <c r="L141">
        <v>34</v>
      </c>
      <c r="M141">
        <v>0</v>
      </c>
      <c r="N141" t="s">
        <v>17</v>
      </c>
      <c r="O141">
        <v>81.02</v>
      </c>
      <c r="P141">
        <v>323.17</v>
      </c>
      <c r="Q141">
        <v>2</v>
      </c>
    </row>
    <row r="142" spans="1:17" x14ac:dyDescent="0.25">
      <c r="A142" t="str">
        <f t="shared" si="2"/>
        <v>0_5_38</v>
      </c>
      <c r="B142" s="1">
        <v>0</v>
      </c>
      <c r="C142">
        <v>1.58</v>
      </c>
      <c r="D142">
        <v>4671</v>
      </c>
      <c r="E142">
        <v>0.88</v>
      </c>
      <c r="F142">
        <v>2.46</v>
      </c>
      <c r="G142">
        <v>2.46</v>
      </c>
      <c r="H142">
        <v>3.89</v>
      </c>
      <c r="I142">
        <v>3.89</v>
      </c>
      <c r="J142">
        <v>5</v>
      </c>
      <c r="K142">
        <v>16000</v>
      </c>
      <c r="L142">
        <v>38</v>
      </c>
      <c r="M142">
        <v>1.1100000000000001</v>
      </c>
      <c r="N142" t="s">
        <v>16</v>
      </c>
      <c r="O142">
        <v>100</v>
      </c>
      <c r="P142">
        <v>526.27</v>
      </c>
      <c r="Q142">
        <v>2</v>
      </c>
    </row>
    <row r="143" spans="1:17" x14ac:dyDescent="0.25">
      <c r="A143" t="str">
        <f t="shared" si="2"/>
        <v>1_5_38</v>
      </c>
      <c r="B143" s="1">
        <v>1</v>
      </c>
      <c r="C143">
        <v>1.57</v>
      </c>
      <c r="D143">
        <v>4860</v>
      </c>
      <c r="E143">
        <v>0.92</v>
      </c>
      <c r="F143">
        <v>3.83</v>
      </c>
      <c r="G143">
        <v>3.83</v>
      </c>
      <c r="H143">
        <v>6.01</v>
      </c>
      <c r="I143">
        <v>6.01</v>
      </c>
      <c r="J143">
        <v>5</v>
      </c>
      <c r="K143">
        <v>16000</v>
      </c>
      <c r="L143">
        <v>38</v>
      </c>
      <c r="M143">
        <v>1.01</v>
      </c>
      <c r="N143" t="s">
        <v>17</v>
      </c>
      <c r="O143">
        <v>88.22</v>
      </c>
      <c r="P143">
        <v>329.16</v>
      </c>
      <c r="Q143">
        <v>2</v>
      </c>
    </row>
    <row r="144" spans="1:17" x14ac:dyDescent="0.25">
      <c r="A144" t="str">
        <f t="shared" si="2"/>
        <v>0_5.1_38</v>
      </c>
      <c r="B144" s="1">
        <v>0</v>
      </c>
      <c r="C144">
        <v>1.58</v>
      </c>
      <c r="D144">
        <v>4671</v>
      </c>
      <c r="E144">
        <v>0.88</v>
      </c>
      <c r="F144">
        <v>2.46</v>
      </c>
      <c r="G144">
        <v>2.46</v>
      </c>
      <c r="H144">
        <v>3.89</v>
      </c>
      <c r="I144">
        <v>3.89</v>
      </c>
      <c r="J144">
        <v>5.0999999999999996</v>
      </c>
      <c r="K144">
        <v>16000</v>
      </c>
      <c r="L144">
        <v>38</v>
      </c>
      <c r="M144">
        <v>1.21</v>
      </c>
      <c r="N144" t="s">
        <v>16</v>
      </c>
      <c r="O144">
        <v>100</v>
      </c>
      <c r="P144">
        <v>526.27</v>
      </c>
      <c r="Q144">
        <v>2</v>
      </c>
    </row>
    <row r="145" spans="1:17" x14ac:dyDescent="0.25">
      <c r="A145" t="str">
        <f t="shared" si="2"/>
        <v>1_5.1_38</v>
      </c>
      <c r="B145" s="1">
        <v>1</v>
      </c>
      <c r="C145">
        <v>1.57</v>
      </c>
      <c r="D145">
        <v>4860</v>
      </c>
      <c r="E145">
        <v>0.92</v>
      </c>
      <c r="F145">
        <v>3.83</v>
      </c>
      <c r="G145">
        <v>3.83</v>
      </c>
      <c r="H145">
        <v>6.01</v>
      </c>
      <c r="I145">
        <v>6.01</v>
      </c>
      <c r="J145">
        <v>5.0999999999999996</v>
      </c>
      <c r="K145">
        <v>16000</v>
      </c>
      <c r="L145">
        <v>38</v>
      </c>
      <c r="M145">
        <v>0.91</v>
      </c>
      <c r="N145" t="s">
        <v>17</v>
      </c>
      <c r="O145">
        <v>88.22</v>
      </c>
      <c r="P145">
        <v>329.16</v>
      </c>
      <c r="Q145">
        <v>2</v>
      </c>
    </row>
    <row r="146" spans="1:17" x14ac:dyDescent="0.25">
      <c r="A146" t="str">
        <f t="shared" si="2"/>
        <v>0_5.2_38</v>
      </c>
      <c r="B146" s="1">
        <v>0</v>
      </c>
      <c r="C146">
        <v>1.31</v>
      </c>
      <c r="D146">
        <v>3507</v>
      </c>
      <c r="E146">
        <v>0.66</v>
      </c>
      <c r="F146">
        <v>3.23</v>
      </c>
      <c r="G146">
        <v>3.23</v>
      </c>
      <c r="H146">
        <v>4.2300000000000004</v>
      </c>
      <c r="I146">
        <v>4.2300000000000004</v>
      </c>
      <c r="J146">
        <v>5.2</v>
      </c>
      <c r="K146">
        <v>9022.34</v>
      </c>
      <c r="L146">
        <v>38</v>
      </c>
      <c r="M146">
        <v>0.97</v>
      </c>
      <c r="N146" t="s">
        <v>16</v>
      </c>
      <c r="O146">
        <v>100</v>
      </c>
      <c r="P146">
        <v>395.19</v>
      </c>
      <c r="Q146">
        <v>2</v>
      </c>
    </row>
    <row r="147" spans="1:17" x14ac:dyDescent="0.25">
      <c r="A147" t="str">
        <f t="shared" si="2"/>
        <v>1_5.2_38</v>
      </c>
      <c r="B147" s="1">
        <v>1</v>
      </c>
      <c r="C147">
        <v>1.61</v>
      </c>
      <c r="D147">
        <v>4703</v>
      </c>
      <c r="E147">
        <v>0.89</v>
      </c>
      <c r="F147">
        <v>4.17</v>
      </c>
      <c r="G147">
        <v>4.17</v>
      </c>
      <c r="H147">
        <v>6.72</v>
      </c>
      <c r="I147">
        <v>6.72</v>
      </c>
      <c r="J147">
        <v>5.2</v>
      </c>
      <c r="K147">
        <v>16000</v>
      </c>
      <c r="L147">
        <v>38</v>
      </c>
      <c r="M147">
        <v>1.52</v>
      </c>
      <c r="N147" t="s">
        <v>17</v>
      </c>
      <c r="O147">
        <v>79.19</v>
      </c>
      <c r="P147">
        <v>299.98</v>
      </c>
      <c r="Q147">
        <v>2</v>
      </c>
    </row>
    <row r="148" spans="1:17" x14ac:dyDescent="0.25">
      <c r="A148" t="str">
        <f t="shared" si="2"/>
        <v>0_5.3_38</v>
      </c>
      <c r="B148" s="1">
        <v>0</v>
      </c>
      <c r="C148">
        <v>1.58</v>
      </c>
      <c r="D148">
        <v>4671</v>
      </c>
      <c r="E148">
        <v>0.88</v>
      </c>
      <c r="F148">
        <v>2.46</v>
      </c>
      <c r="G148">
        <v>2.46</v>
      </c>
      <c r="H148">
        <v>3.89</v>
      </c>
      <c r="I148">
        <v>3.89</v>
      </c>
      <c r="J148">
        <v>5.3</v>
      </c>
      <c r="K148">
        <v>16000</v>
      </c>
      <c r="L148">
        <v>38</v>
      </c>
      <c r="M148">
        <v>1.41</v>
      </c>
      <c r="N148" t="s">
        <v>16</v>
      </c>
      <c r="O148">
        <v>100</v>
      </c>
      <c r="P148">
        <v>526.27</v>
      </c>
      <c r="Q148">
        <v>2</v>
      </c>
    </row>
    <row r="149" spans="1:17" x14ac:dyDescent="0.25">
      <c r="A149" t="str">
        <f t="shared" si="2"/>
        <v>1_5.3_38</v>
      </c>
      <c r="B149" s="1">
        <v>1</v>
      </c>
      <c r="C149">
        <v>1.57</v>
      </c>
      <c r="D149">
        <v>4860</v>
      </c>
      <c r="E149">
        <v>0.92</v>
      </c>
      <c r="F149">
        <v>3.83</v>
      </c>
      <c r="G149">
        <v>3.83</v>
      </c>
      <c r="H149">
        <v>6.01</v>
      </c>
      <c r="I149">
        <v>6.01</v>
      </c>
      <c r="J149">
        <v>5.3</v>
      </c>
      <c r="K149">
        <v>15999.13</v>
      </c>
      <c r="L149">
        <v>38</v>
      </c>
      <c r="M149">
        <v>0.71</v>
      </c>
      <c r="N149" t="s">
        <v>17</v>
      </c>
      <c r="O149">
        <v>88.22</v>
      </c>
      <c r="P149">
        <v>329.16</v>
      </c>
      <c r="Q149">
        <v>2</v>
      </c>
    </row>
    <row r="150" spans="1:17" x14ac:dyDescent="0.25">
      <c r="A150" t="str">
        <f t="shared" si="2"/>
        <v>0_5.4_38</v>
      </c>
      <c r="B150" s="1">
        <v>0</v>
      </c>
      <c r="C150">
        <v>1.31</v>
      </c>
      <c r="D150">
        <v>3528</v>
      </c>
      <c r="E150">
        <v>0.67</v>
      </c>
      <c r="F150">
        <v>3.21</v>
      </c>
      <c r="G150">
        <v>3.21</v>
      </c>
      <c r="H150">
        <v>4.22</v>
      </c>
      <c r="I150">
        <v>4.22</v>
      </c>
      <c r="J150">
        <v>5.4</v>
      </c>
      <c r="K150">
        <v>9130.7000000000007</v>
      </c>
      <c r="L150">
        <v>38</v>
      </c>
      <c r="M150">
        <v>1.18</v>
      </c>
      <c r="N150" t="s">
        <v>16</v>
      </c>
      <c r="O150">
        <v>100</v>
      </c>
      <c r="P150">
        <v>397.56</v>
      </c>
      <c r="Q150">
        <v>2</v>
      </c>
    </row>
    <row r="151" spans="1:17" x14ac:dyDescent="0.25">
      <c r="A151" t="str">
        <f t="shared" si="2"/>
        <v>1_5.4_38</v>
      </c>
      <c r="B151" s="1">
        <v>1</v>
      </c>
      <c r="C151">
        <v>1.61</v>
      </c>
      <c r="D151">
        <v>4707</v>
      </c>
      <c r="E151">
        <v>0.89</v>
      </c>
      <c r="F151">
        <v>4.16</v>
      </c>
      <c r="G151">
        <v>4.16</v>
      </c>
      <c r="H151">
        <v>6.69</v>
      </c>
      <c r="I151">
        <v>6.69</v>
      </c>
      <c r="J151">
        <v>5.4</v>
      </c>
      <c r="K151">
        <v>16000</v>
      </c>
      <c r="L151">
        <v>38</v>
      </c>
      <c r="M151">
        <v>1.29</v>
      </c>
      <c r="N151" t="s">
        <v>17</v>
      </c>
      <c r="O151">
        <v>79.47</v>
      </c>
      <c r="P151">
        <v>300.83999999999997</v>
      </c>
      <c r="Q151">
        <v>2</v>
      </c>
    </row>
    <row r="152" spans="1:17" x14ac:dyDescent="0.25">
      <c r="A152" t="str">
        <f t="shared" si="2"/>
        <v>0_5.5_38</v>
      </c>
      <c r="B152" s="1">
        <v>0</v>
      </c>
      <c r="C152">
        <v>1.32</v>
      </c>
      <c r="D152">
        <v>3547</v>
      </c>
      <c r="E152">
        <v>0.67</v>
      </c>
      <c r="F152">
        <v>3.19</v>
      </c>
      <c r="G152">
        <v>3.19</v>
      </c>
      <c r="H152">
        <v>4.21</v>
      </c>
      <c r="I152">
        <v>4.21</v>
      </c>
      <c r="J152">
        <v>5.5</v>
      </c>
      <c r="K152">
        <v>9229.41</v>
      </c>
      <c r="L152">
        <v>38</v>
      </c>
      <c r="M152">
        <v>1.29</v>
      </c>
      <c r="N152" t="s">
        <v>16</v>
      </c>
      <c r="O152">
        <v>100</v>
      </c>
      <c r="P152">
        <v>399.7</v>
      </c>
      <c r="Q152">
        <v>2</v>
      </c>
    </row>
    <row r="153" spans="1:17" x14ac:dyDescent="0.25">
      <c r="A153" t="str">
        <f t="shared" si="2"/>
        <v>1_5.5_38</v>
      </c>
      <c r="B153" s="1">
        <v>1</v>
      </c>
      <c r="C153">
        <v>1.61</v>
      </c>
      <c r="D153">
        <v>4712</v>
      </c>
      <c r="E153">
        <v>0.89</v>
      </c>
      <c r="F153">
        <v>4.1500000000000004</v>
      </c>
      <c r="G153">
        <v>4.1500000000000004</v>
      </c>
      <c r="H153">
        <v>6.67</v>
      </c>
      <c r="I153">
        <v>6.67</v>
      </c>
      <c r="J153">
        <v>5.5</v>
      </c>
      <c r="K153">
        <v>16000</v>
      </c>
      <c r="L153">
        <v>38</v>
      </c>
      <c r="M153">
        <v>1.17</v>
      </c>
      <c r="N153" t="s">
        <v>17</v>
      </c>
      <c r="O153">
        <v>79.709999999999994</v>
      </c>
      <c r="P153">
        <v>301.61</v>
      </c>
      <c r="Q153">
        <v>2</v>
      </c>
    </row>
    <row r="154" spans="1:17" x14ac:dyDescent="0.25">
      <c r="A154" t="str">
        <f t="shared" si="2"/>
        <v>0_5.6_38</v>
      </c>
      <c r="B154" s="1">
        <v>0</v>
      </c>
      <c r="C154">
        <v>1.58</v>
      </c>
      <c r="D154">
        <v>4671</v>
      </c>
      <c r="E154">
        <v>0.88</v>
      </c>
      <c r="F154">
        <v>2.46</v>
      </c>
      <c r="G154">
        <v>2.46</v>
      </c>
      <c r="H154">
        <v>3.89</v>
      </c>
      <c r="I154">
        <v>3.89</v>
      </c>
      <c r="J154">
        <v>5.6</v>
      </c>
      <c r="K154">
        <v>16000</v>
      </c>
      <c r="L154">
        <v>38</v>
      </c>
      <c r="M154">
        <v>1.71</v>
      </c>
      <c r="N154" t="s">
        <v>16</v>
      </c>
      <c r="O154">
        <v>100</v>
      </c>
      <c r="P154">
        <v>526.27</v>
      </c>
      <c r="Q154">
        <v>2</v>
      </c>
    </row>
    <row r="155" spans="1:17" x14ac:dyDescent="0.25">
      <c r="A155" t="str">
        <f t="shared" si="2"/>
        <v>1_5.6_38</v>
      </c>
      <c r="B155" s="1">
        <v>1</v>
      </c>
      <c r="C155">
        <v>1.46</v>
      </c>
      <c r="D155">
        <v>4660</v>
      </c>
      <c r="E155">
        <v>0.88</v>
      </c>
      <c r="F155">
        <v>3.83</v>
      </c>
      <c r="G155">
        <v>3.83</v>
      </c>
      <c r="H155">
        <v>5.6</v>
      </c>
      <c r="I155">
        <v>5.6</v>
      </c>
      <c r="J155">
        <v>5.6</v>
      </c>
      <c r="K155">
        <v>13939.35</v>
      </c>
      <c r="L155">
        <v>38</v>
      </c>
      <c r="M155">
        <v>0</v>
      </c>
      <c r="N155" t="s">
        <v>17</v>
      </c>
      <c r="O155">
        <v>94.89</v>
      </c>
      <c r="P155">
        <v>329.16</v>
      </c>
      <c r="Q155">
        <v>2</v>
      </c>
    </row>
    <row r="156" spans="1:17" x14ac:dyDescent="0.25">
      <c r="A156" t="str">
        <f t="shared" si="2"/>
        <v>0_5.7_38</v>
      </c>
      <c r="B156" s="1">
        <v>0</v>
      </c>
      <c r="C156">
        <v>1.58</v>
      </c>
      <c r="D156">
        <v>4671</v>
      </c>
      <c r="E156">
        <v>0.88</v>
      </c>
      <c r="F156">
        <v>2.46</v>
      </c>
      <c r="G156">
        <v>2.46</v>
      </c>
      <c r="H156">
        <v>3.89</v>
      </c>
      <c r="I156">
        <v>3.89</v>
      </c>
      <c r="J156">
        <v>5.7</v>
      </c>
      <c r="K156">
        <v>16000</v>
      </c>
      <c r="L156">
        <v>38</v>
      </c>
      <c r="M156">
        <v>1.81</v>
      </c>
      <c r="N156" t="s">
        <v>16</v>
      </c>
      <c r="O156">
        <v>100</v>
      </c>
      <c r="P156">
        <v>526.27</v>
      </c>
      <c r="Q156">
        <v>2</v>
      </c>
    </row>
    <row r="157" spans="1:17" x14ac:dyDescent="0.25">
      <c r="A157" t="str">
        <f t="shared" si="2"/>
        <v>1_5.7_38</v>
      </c>
      <c r="B157" s="1">
        <v>1</v>
      </c>
      <c r="C157">
        <v>1.51</v>
      </c>
      <c r="D157">
        <v>4748</v>
      </c>
      <c r="E157">
        <v>0.9</v>
      </c>
      <c r="F157">
        <v>3.83</v>
      </c>
      <c r="G157">
        <v>3.83</v>
      </c>
      <c r="H157">
        <v>5.77</v>
      </c>
      <c r="I157">
        <v>5.77</v>
      </c>
      <c r="J157">
        <v>5.7</v>
      </c>
      <c r="K157">
        <v>14831.92</v>
      </c>
      <c r="L157">
        <v>38</v>
      </c>
      <c r="M157">
        <v>7.0000000000000007E-2</v>
      </c>
      <c r="N157" t="s">
        <v>17</v>
      </c>
      <c r="O157">
        <v>91.9</v>
      </c>
      <c r="P157">
        <v>329.16</v>
      </c>
      <c r="Q157">
        <v>2</v>
      </c>
    </row>
    <row r="158" spans="1:17" x14ac:dyDescent="0.25">
      <c r="A158" t="str">
        <f t="shared" si="2"/>
        <v>0_5.8_38</v>
      </c>
      <c r="B158" s="1">
        <v>0</v>
      </c>
      <c r="C158">
        <v>1.58</v>
      </c>
      <c r="D158">
        <v>4671</v>
      </c>
      <c r="E158">
        <v>0.88</v>
      </c>
      <c r="F158">
        <v>2.46</v>
      </c>
      <c r="G158">
        <v>2.46</v>
      </c>
      <c r="H158">
        <v>3.89</v>
      </c>
      <c r="I158">
        <v>3.89</v>
      </c>
      <c r="J158">
        <v>5.8</v>
      </c>
      <c r="K158">
        <v>16000</v>
      </c>
      <c r="L158">
        <v>38</v>
      </c>
      <c r="M158">
        <v>1.91</v>
      </c>
      <c r="N158" t="s">
        <v>16</v>
      </c>
      <c r="O158">
        <v>100</v>
      </c>
      <c r="P158">
        <v>526.27</v>
      </c>
      <c r="Q158">
        <v>2</v>
      </c>
    </row>
    <row r="159" spans="1:17" x14ac:dyDescent="0.25">
      <c r="A159" t="str">
        <f t="shared" si="2"/>
        <v>1_5.8_38</v>
      </c>
      <c r="B159" s="1">
        <v>1</v>
      </c>
      <c r="C159">
        <v>1.57</v>
      </c>
      <c r="D159">
        <v>4860</v>
      </c>
      <c r="E159">
        <v>0.92</v>
      </c>
      <c r="F159">
        <v>3.83</v>
      </c>
      <c r="G159">
        <v>3.83</v>
      </c>
      <c r="H159">
        <v>6.01</v>
      </c>
      <c r="I159">
        <v>6.01</v>
      </c>
      <c r="J159">
        <v>5.8</v>
      </c>
      <c r="K159">
        <v>15998.71</v>
      </c>
      <c r="L159">
        <v>38</v>
      </c>
      <c r="M159">
        <v>0.21</v>
      </c>
      <c r="N159" t="s">
        <v>17</v>
      </c>
      <c r="O159">
        <v>88.23</v>
      </c>
      <c r="P159">
        <v>329.16</v>
      </c>
      <c r="Q159">
        <v>2</v>
      </c>
    </row>
    <row r="160" spans="1:17" x14ac:dyDescent="0.25">
      <c r="A160" t="str">
        <f t="shared" si="2"/>
        <v>0_5.9_38</v>
      </c>
      <c r="B160" s="1">
        <v>0</v>
      </c>
      <c r="C160">
        <v>1.58</v>
      </c>
      <c r="D160">
        <v>4671</v>
      </c>
      <c r="E160">
        <v>0.88</v>
      </c>
      <c r="F160">
        <v>2.46</v>
      </c>
      <c r="G160">
        <v>2.46</v>
      </c>
      <c r="H160">
        <v>3.89</v>
      </c>
      <c r="I160">
        <v>3.89</v>
      </c>
      <c r="J160">
        <v>5.9</v>
      </c>
      <c r="K160">
        <v>16000</v>
      </c>
      <c r="L160">
        <v>38</v>
      </c>
      <c r="M160">
        <v>2.0099999999999998</v>
      </c>
      <c r="N160" t="s">
        <v>16</v>
      </c>
      <c r="O160">
        <v>100</v>
      </c>
      <c r="P160">
        <v>526.27</v>
      </c>
      <c r="Q160">
        <v>2</v>
      </c>
    </row>
    <row r="161" spans="1:17" x14ac:dyDescent="0.25">
      <c r="A161" t="str">
        <f t="shared" si="2"/>
        <v>1_5.9_38</v>
      </c>
      <c r="B161" s="1">
        <v>1</v>
      </c>
      <c r="C161">
        <v>1.57</v>
      </c>
      <c r="D161">
        <v>4853</v>
      </c>
      <c r="E161">
        <v>0.92</v>
      </c>
      <c r="F161">
        <v>3.83</v>
      </c>
      <c r="G161">
        <v>3.83</v>
      </c>
      <c r="H161">
        <v>5.99</v>
      </c>
      <c r="I161">
        <v>5.99</v>
      </c>
      <c r="J161">
        <v>5.9</v>
      </c>
      <c r="K161">
        <v>15919.48</v>
      </c>
      <c r="L161">
        <v>38</v>
      </c>
      <c r="M161">
        <v>0.09</v>
      </c>
      <c r="N161" t="s">
        <v>17</v>
      </c>
      <c r="O161">
        <v>88.47</v>
      </c>
      <c r="P161">
        <v>329.16</v>
      </c>
      <c r="Q161">
        <v>2</v>
      </c>
    </row>
    <row r="162" spans="1:17" x14ac:dyDescent="0.25">
      <c r="A162" t="str">
        <f t="shared" si="2"/>
        <v>0_5_42</v>
      </c>
      <c r="B162" s="1">
        <v>0</v>
      </c>
      <c r="C162">
        <v>1.31</v>
      </c>
      <c r="D162">
        <v>3508</v>
      </c>
      <c r="E162">
        <v>0.66</v>
      </c>
      <c r="F162">
        <v>3.54</v>
      </c>
      <c r="G162">
        <v>3.54</v>
      </c>
      <c r="H162">
        <v>4.6500000000000004</v>
      </c>
      <c r="I162">
        <v>4.6500000000000004</v>
      </c>
      <c r="J162">
        <v>5</v>
      </c>
      <c r="K162">
        <v>9976.9</v>
      </c>
      <c r="L162">
        <v>42</v>
      </c>
      <c r="M162">
        <v>0.35</v>
      </c>
      <c r="N162" t="s">
        <v>16</v>
      </c>
      <c r="O162">
        <v>100</v>
      </c>
      <c r="P162">
        <v>395.29</v>
      </c>
      <c r="Q162">
        <v>2</v>
      </c>
    </row>
    <row r="163" spans="1:17" x14ac:dyDescent="0.25">
      <c r="A163" t="str">
        <f t="shared" si="2"/>
        <v>1_5_42</v>
      </c>
      <c r="B163" s="1">
        <v>1</v>
      </c>
      <c r="C163">
        <v>1.32</v>
      </c>
      <c r="D163">
        <v>4096</v>
      </c>
      <c r="E163">
        <v>0.77</v>
      </c>
      <c r="F163">
        <v>4.59</v>
      </c>
      <c r="G163">
        <v>4.59</v>
      </c>
      <c r="H163">
        <v>6.07</v>
      </c>
      <c r="I163">
        <v>6.07</v>
      </c>
      <c r="J163">
        <v>5</v>
      </c>
      <c r="K163">
        <v>11376.78</v>
      </c>
      <c r="L163">
        <v>42</v>
      </c>
      <c r="M163">
        <v>1.07</v>
      </c>
      <c r="N163" t="s">
        <v>17</v>
      </c>
      <c r="O163">
        <v>100</v>
      </c>
      <c r="P163">
        <v>298.39999999999998</v>
      </c>
      <c r="Q163">
        <v>2</v>
      </c>
    </row>
    <row r="164" spans="1:17" x14ac:dyDescent="0.25">
      <c r="A164" t="str">
        <f t="shared" si="2"/>
        <v>0_5.1_42</v>
      </c>
      <c r="B164" s="1">
        <v>0</v>
      </c>
      <c r="C164">
        <v>1.31</v>
      </c>
      <c r="D164">
        <v>3510</v>
      </c>
      <c r="E164">
        <v>0.66</v>
      </c>
      <c r="F164">
        <v>3.54</v>
      </c>
      <c r="G164">
        <v>3.54</v>
      </c>
      <c r="H164">
        <v>4.6500000000000004</v>
      </c>
      <c r="I164">
        <v>4.6500000000000004</v>
      </c>
      <c r="J164">
        <v>5.0999999999999996</v>
      </c>
      <c r="K164">
        <v>9987.09</v>
      </c>
      <c r="L164">
        <v>42</v>
      </c>
      <c r="M164">
        <v>0.45</v>
      </c>
      <c r="N164" t="s">
        <v>16</v>
      </c>
      <c r="O164">
        <v>100</v>
      </c>
      <c r="P164">
        <v>395.49</v>
      </c>
      <c r="Q164">
        <v>2</v>
      </c>
    </row>
    <row r="165" spans="1:17" x14ac:dyDescent="0.25">
      <c r="A165" t="str">
        <f t="shared" si="2"/>
        <v>1_5.1_42</v>
      </c>
      <c r="B165" s="1">
        <v>1</v>
      </c>
      <c r="C165">
        <v>1.32</v>
      </c>
      <c r="D165">
        <v>4097</v>
      </c>
      <c r="E165">
        <v>0.77</v>
      </c>
      <c r="F165">
        <v>4.59</v>
      </c>
      <c r="G165">
        <v>4.59</v>
      </c>
      <c r="H165">
        <v>6.07</v>
      </c>
      <c r="I165">
        <v>6.07</v>
      </c>
      <c r="J165">
        <v>5.0999999999999996</v>
      </c>
      <c r="K165">
        <v>11382.32</v>
      </c>
      <c r="L165">
        <v>42</v>
      </c>
      <c r="M165">
        <v>0.97</v>
      </c>
      <c r="N165" t="s">
        <v>17</v>
      </c>
      <c r="O165">
        <v>100</v>
      </c>
      <c r="P165">
        <v>298.47000000000003</v>
      </c>
      <c r="Q165">
        <v>2</v>
      </c>
    </row>
    <row r="166" spans="1:17" x14ac:dyDescent="0.25">
      <c r="A166" t="str">
        <f t="shared" si="2"/>
        <v>0_5.2_42</v>
      </c>
      <c r="B166" s="1">
        <v>0</v>
      </c>
      <c r="C166">
        <v>1.29</v>
      </c>
      <c r="D166">
        <v>3416</v>
      </c>
      <c r="E166">
        <v>0.64</v>
      </c>
      <c r="F166">
        <v>3.63</v>
      </c>
      <c r="G166">
        <v>3.63</v>
      </c>
      <c r="H166">
        <v>4.7</v>
      </c>
      <c r="I166">
        <v>4.7</v>
      </c>
      <c r="J166">
        <v>5.2</v>
      </c>
      <c r="K166">
        <v>9457.86</v>
      </c>
      <c r="L166">
        <v>42</v>
      </c>
      <c r="M166">
        <v>0.5</v>
      </c>
      <c r="N166" t="s">
        <v>16</v>
      </c>
      <c r="O166">
        <v>100</v>
      </c>
      <c r="P166">
        <v>384.87</v>
      </c>
      <c r="Q166">
        <v>2</v>
      </c>
    </row>
    <row r="167" spans="1:17" x14ac:dyDescent="0.25">
      <c r="A167" t="str">
        <f t="shared" si="2"/>
        <v>1_5.2_42</v>
      </c>
      <c r="B167" s="1">
        <v>1</v>
      </c>
      <c r="C167">
        <v>1.31</v>
      </c>
      <c r="D167">
        <v>4042</v>
      </c>
      <c r="E167">
        <v>0.76</v>
      </c>
      <c r="F167">
        <v>4.6399999999999997</v>
      </c>
      <c r="G167">
        <v>4.6399999999999997</v>
      </c>
      <c r="H167">
        <v>6.1</v>
      </c>
      <c r="I167">
        <v>6.1</v>
      </c>
      <c r="J167">
        <v>5.2</v>
      </c>
      <c r="K167">
        <v>11082.76</v>
      </c>
      <c r="L167">
        <v>42</v>
      </c>
      <c r="M167">
        <v>0.9</v>
      </c>
      <c r="N167" t="s">
        <v>17</v>
      </c>
      <c r="O167">
        <v>100</v>
      </c>
      <c r="P167">
        <v>294.52</v>
      </c>
      <c r="Q167">
        <v>2</v>
      </c>
    </row>
    <row r="168" spans="1:17" x14ac:dyDescent="0.25">
      <c r="A168" t="str">
        <f t="shared" si="2"/>
        <v>0_5.3_42</v>
      </c>
      <c r="B168" s="1">
        <v>0</v>
      </c>
      <c r="C168">
        <v>1.29</v>
      </c>
      <c r="D168">
        <v>3371</v>
      </c>
      <c r="E168">
        <v>0.64</v>
      </c>
      <c r="F168">
        <v>3.68</v>
      </c>
      <c r="G168">
        <v>3.68</v>
      </c>
      <c r="H168">
        <v>4.7300000000000004</v>
      </c>
      <c r="I168">
        <v>4.7300000000000004</v>
      </c>
      <c r="J168">
        <v>5.3</v>
      </c>
      <c r="K168">
        <v>9210.83</v>
      </c>
      <c r="L168">
        <v>42</v>
      </c>
      <c r="M168">
        <v>0.56999999999999995</v>
      </c>
      <c r="N168" t="s">
        <v>16</v>
      </c>
      <c r="O168">
        <v>100</v>
      </c>
      <c r="P168">
        <v>379.81</v>
      </c>
      <c r="Q168">
        <v>2</v>
      </c>
    </row>
    <row r="169" spans="1:17" x14ac:dyDescent="0.25">
      <c r="A169" t="str">
        <f t="shared" si="2"/>
        <v>1_5.3_42</v>
      </c>
      <c r="B169" s="1">
        <v>1</v>
      </c>
      <c r="C169">
        <v>1.31</v>
      </c>
      <c r="D169">
        <v>4015</v>
      </c>
      <c r="E169">
        <v>0.76</v>
      </c>
      <c r="F169">
        <v>4.67</v>
      </c>
      <c r="G169">
        <v>4.67</v>
      </c>
      <c r="H169">
        <v>6.12</v>
      </c>
      <c r="I169">
        <v>6.12</v>
      </c>
      <c r="J169">
        <v>5.3</v>
      </c>
      <c r="K169">
        <v>10934.67</v>
      </c>
      <c r="L169">
        <v>42</v>
      </c>
      <c r="M169">
        <v>0.82</v>
      </c>
      <c r="N169" t="s">
        <v>17</v>
      </c>
      <c r="O169">
        <v>100</v>
      </c>
      <c r="P169">
        <v>292.54000000000002</v>
      </c>
      <c r="Q169">
        <v>2</v>
      </c>
    </row>
    <row r="170" spans="1:17" x14ac:dyDescent="0.25">
      <c r="A170" t="str">
        <f t="shared" si="2"/>
        <v>0_5.4_42</v>
      </c>
      <c r="B170" s="1">
        <v>0</v>
      </c>
      <c r="C170">
        <v>1.31</v>
      </c>
      <c r="D170">
        <v>3519</v>
      </c>
      <c r="E170">
        <v>0.66</v>
      </c>
      <c r="F170">
        <v>3.53</v>
      </c>
      <c r="G170">
        <v>3.53</v>
      </c>
      <c r="H170">
        <v>4.6399999999999997</v>
      </c>
      <c r="I170">
        <v>4.6399999999999997</v>
      </c>
      <c r="J170">
        <v>5.4</v>
      </c>
      <c r="K170">
        <v>10039.26</v>
      </c>
      <c r="L170">
        <v>42</v>
      </c>
      <c r="M170">
        <v>0.76</v>
      </c>
      <c r="N170" t="s">
        <v>16</v>
      </c>
      <c r="O170">
        <v>100</v>
      </c>
      <c r="P170">
        <v>396.52</v>
      </c>
      <c r="Q170">
        <v>2</v>
      </c>
    </row>
    <row r="171" spans="1:17" x14ac:dyDescent="0.25">
      <c r="A171" t="str">
        <f t="shared" si="2"/>
        <v>1_5.4_42</v>
      </c>
      <c r="B171" s="1">
        <v>1</v>
      </c>
      <c r="C171">
        <v>1.32</v>
      </c>
      <c r="D171">
        <v>4102</v>
      </c>
      <c r="E171">
        <v>0.77</v>
      </c>
      <c r="F171">
        <v>4.58</v>
      </c>
      <c r="G171">
        <v>4.58</v>
      </c>
      <c r="H171">
        <v>6.07</v>
      </c>
      <c r="I171">
        <v>6.07</v>
      </c>
      <c r="J171">
        <v>5.4</v>
      </c>
      <c r="K171">
        <v>11410.58</v>
      </c>
      <c r="L171">
        <v>42</v>
      </c>
      <c r="M171">
        <v>0.67</v>
      </c>
      <c r="N171" t="s">
        <v>17</v>
      </c>
      <c r="O171">
        <v>100</v>
      </c>
      <c r="P171">
        <v>298.83999999999997</v>
      </c>
      <c r="Q171">
        <v>2</v>
      </c>
    </row>
    <row r="172" spans="1:17" x14ac:dyDescent="0.25">
      <c r="A172" t="str">
        <f t="shared" si="2"/>
        <v>0_5.5_42</v>
      </c>
      <c r="B172" s="1">
        <v>0</v>
      </c>
      <c r="C172">
        <v>1.28</v>
      </c>
      <c r="D172">
        <v>3340</v>
      </c>
      <c r="E172">
        <v>0.63</v>
      </c>
      <c r="F172">
        <v>3.71</v>
      </c>
      <c r="G172">
        <v>3.71</v>
      </c>
      <c r="H172">
        <v>4.75</v>
      </c>
      <c r="I172">
        <v>4.75</v>
      </c>
      <c r="J172">
        <v>5.5</v>
      </c>
      <c r="K172">
        <v>9041.4599999999991</v>
      </c>
      <c r="L172">
        <v>42</v>
      </c>
      <c r="M172">
        <v>0.75</v>
      </c>
      <c r="N172" t="s">
        <v>16</v>
      </c>
      <c r="O172">
        <v>100</v>
      </c>
      <c r="P172">
        <v>376.3</v>
      </c>
      <c r="Q172">
        <v>2</v>
      </c>
    </row>
    <row r="173" spans="1:17" x14ac:dyDescent="0.25">
      <c r="A173" t="str">
        <f t="shared" si="2"/>
        <v>1_5.5_42</v>
      </c>
      <c r="B173" s="1">
        <v>1</v>
      </c>
      <c r="C173">
        <v>1.31</v>
      </c>
      <c r="D173">
        <v>3996</v>
      </c>
      <c r="E173">
        <v>0.75</v>
      </c>
      <c r="F173">
        <v>4.6900000000000004</v>
      </c>
      <c r="G173">
        <v>4.6900000000000004</v>
      </c>
      <c r="H173">
        <v>6.13</v>
      </c>
      <c r="I173">
        <v>6.13</v>
      </c>
      <c r="J173">
        <v>5.5</v>
      </c>
      <c r="K173">
        <v>10829.99</v>
      </c>
      <c r="L173">
        <v>42</v>
      </c>
      <c r="M173">
        <v>0.63</v>
      </c>
      <c r="N173" t="s">
        <v>17</v>
      </c>
      <c r="O173">
        <v>100</v>
      </c>
      <c r="P173">
        <v>291.14</v>
      </c>
      <c r="Q173">
        <v>2</v>
      </c>
    </row>
    <row r="174" spans="1:17" x14ac:dyDescent="0.25">
      <c r="A174" t="str">
        <f t="shared" si="2"/>
        <v>0_5.6_42</v>
      </c>
      <c r="B174" s="1">
        <v>0</v>
      </c>
      <c r="C174">
        <v>1.28</v>
      </c>
      <c r="D174">
        <v>3352</v>
      </c>
      <c r="E174">
        <v>0.63</v>
      </c>
      <c r="F174">
        <v>3.69</v>
      </c>
      <c r="G174">
        <v>3.69</v>
      </c>
      <c r="H174">
        <v>4.74</v>
      </c>
      <c r="I174">
        <v>4.74</v>
      </c>
      <c r="J174">
        <v>5.6</v>
      </c>
      <c r="K174">
        <v>9110.07</v>
      </c>
      <c r="L174">
        <v>42</v>
      </c>
      <c r="M174">
        <v>0.86</v>
      </c>
      <c r="N174" t="s">
        <v>16</v>
      </c>
      <c r="O174">
        <v>100</v>
      </c>
      <c r="P174">
        <v>377.73</v>
      </c>
      <c r="Q174">
        <v>2</v>
      </c>
    </row>
    <row r="175" spans="1:17" x14ac:dyDescent="0.25">
      <c r="A175" t="str">
        <f t="shared" si="2"/>
        <v>1_5.6_42</v>
      </c>
      <c r="B175" s="1">
        <v>1</v>
      </c>
      <c r="C175">
        <v>1.54</v>
      </c>
      <c r="D175">
        <v>4507</v>
      </c>
      <c r="E175">
        <v>0.85</v>
      </c>
      <c r="F175">
        <v>4.68</v>
      </c>
      <c r="G175">
        <v>4.68</v>
      </c>
      <c r="H175">
        <v>7.22</v>
      </c>
      <c r="I175">
        <v>7.22</v>
      </c>
      <c r="J175">
        <v>5.6</v>
      </c>
      <c r="K175">
        <v>15999.95</v>
      </c>
      <c r="L175">
        <v>42</v>
      </c>
      <c r="M175">
        <v>1.62</v>
      </c>
      <c r="N175" t="s">
        <v>17</v>
      </c>
      <c r="O175">
        <v>81.34</v>
      </c>
      <c r="P175">
        <v>291.70999999999998</v>
      </c>
      <c r="Q175">
        <v>2</v>
      </c>
    </row>
    <row r="176" spans="1:17" x14ac:dyDescent="0.25">
      <c r="A176" t="str">
        <f t="shared" si="2"/>
        <v>0_5.7_42</v>
      </c>
      <c r="B176" s="1">
        <v>0</v>
      </c>
      <c r="C176">
        <v>1.3</v>
      </c>
      <c r="D176">
        <v>3445</v>
      </c>
      <c r="E176">
        <v>0.65</v>
      </c>
      <c r="F176">
        <v>3.6</v>
      </c>
      <c r="G176">
        <v>3.6</v>
      </c>
      <c r="H176">
        <v>4.68</v>
      </c>
      <c r="I176">
        <v>4.68</v>
      </c>
      <c r="J176">
        <v>5.7</v>
      </c>
      <c r="K176">
        <v>9620.77</v>
      </c>
      <c r="L176">
        <v>42</v>
      </c>
      <c r="M176">
        <v>1.02</v>
      </c>
      <c r="N176" t="s">
        <v>16</v>
      </c>
      <c r="O176">
        <v>100</v>
      </c>
      <c r="P176">
        <v>388.17</v>
      </c>
      <c r="Q176">
        <v>2</v>
      </c>
    </row>
    <row r="177" spans="1:17" x14ac:dyDescent="0.25">
      <c r="A177" t="str">
        <f t="shared" si="2"/>
        <v>1_5.7_42</v>
      </c>
      <c r="B177" s="1">
        <v>1</v>
      </c>
      <c r="C177">
        <v>1.54</v>
      </c>
      <c r="D177">
        <v>4529</v>
      </c>
      <c r="E177">
        <v>0.85</v>
      </c>
      <c r="F177">
        <v>4.62</v>
      </c>
      <c r="G177">
        <v>4.62</v>
      </c>
      <c r="H177">
        <v>7.11</v>
      </c>
      <c r="I177">
        <v>7.11</v>
      </c>
      <c r="J177">
        <v>5.7</v>
      </c>
      <c r="K177">
        <v>16000</v>
      </c>
      <c r="L177">
        <v>42</v>
      </c>
      <c r="M177">
        <v>1.41</v>
      </c>
      <c r="N177" t="s">
        <v>17</v>
      </c>
      <c r="O177">
        <v>82.68</v>
      </c>
      <c r="P177">
        <v>295.77</v>
      </c>
      <c r="Q177">
        <v>2</v>
      </c>
    </row>
    <row r="178" spans="1:17" x14ac:dyDescent="0.25">
      <c r="A178" t="str">
        <f t="shared" si="2"/>
        <v>0_5.8_42</v>
      </c>
      <c r="B178" s="1">
        <v>0</v>
      </c>
      <c r="C178">
        <v>1.29</v>
      </c>
      <c r="D178">
        <v>3389</v>
      </c>
      <c r="E178">
        <v>0.64</v>
      </c>
      <c r="F178">
        <v>3.66</v>
      </c>
      <c r="G178">
        <v>3.66</v>
      </c>
      <c r="H178">
        <v>4.72</v>
      </c>
      <c r="I178">
        <v>4.72</v>
      </c>
      <c r="J178">
        <v>5.8</v>
      </c>
      <c r="K178">
        <v>9313.34</v>
      </c>
      <c r="L178">
        <v>42</v>
      </c>
      <c r="M178">
        <v>1.08</v>
      </c>
      <c r="N178" t="s">
        <v>16</v>
      </c>
      <c r="O178">
        <v>100</v>
      </c>
      <c r="P178">
        <v>381.92</v>
      </c>
      <c r="Q178">
        <v>2</v>
      </c>
    </row>
    <row r="179" spans="1:17" x14ac:dyDescent="0.25">
      <c r="A179" t="str">
        <f t="shared" si="2"/>
        <v>1_5.8_42</v>
      </c>
      <c r="B179" s="1">
        <v>1</v>
      </c>
      <c r="C179">
        <v>1.54</v>
      </c>
      <c r="D179">
        <v>4516</v>
      </c>
      <c r="E179">
        <v>0.85</v>
      </c>
      <c r="F179">
        <v>4.66</v>
      </c>
      <c r="G179">
        <v>4.66</v>
      </c>
      <c r="H179">
        <v>7.18</v>
      </c>
      <c r="I179">
        <v>7.18</v>
      </c>
      <c r="J179">
        <v>5.8</v>
      </c>
      <c r="K179">
        <v>16000</v>
      </c>
      <c r="L179">
        <v>42</v>
      </c>
      <c r="M179">
        <v>1.38</v>
      </c>
      <c r="N179" t="s">
        <v>17</v>
      </c>
      <c r="O179">
        <v>81.89</v>
      </c>
      <c r="P179">
        <v>293.37</v>
      </c>
      <c r="Q179">
        <v>2</v>
      </c>
    </row>
    <row r="180" spans="1:17" x14ac:dyDescent="0.25">
      <c r="A180" t="str">
        <f t="shared" si="2"/>
        <v>0_5.9_42</v>
      </c>
      <c r="B180" s="1">
        <v>0</v>
      </c>
      <c r="C180">
        <v>1.52</v>
      </c>
      <c r="D180">
        <v>4443</v>
      </c>
      <c r="E180">
        <v>0.84</v>
      </c>
      <c r="F180">
        <v>2.84</v>
      </c>
      <c r="G180">
        <v>2.84</v>
      </c>
      <c r="H180">
        <v>4.3099999999999996</v>
      </c>
      <c r="I180">
        <v>4.3099999999999996</v>
      </c>
      <c r="J180">
        <v>5.9</v>
      </c>
      <c r="K180">
        <v>16000</v>
      </c>
      <c r="L180">
        <v>42</v>
      </c>
      <c r="M180">
        <v>1.59</v>
      </c>
      <c r="N180" t="s">
        <v>16</v>
      </c>
      <c r="O180">
        <v>100</v>
      </c>
      <c r="P180">
        <v>500.59</v>
      </c>
      <c r="Q180">
        <v>2</v>
      </c>
    </row>
    <row r="181" spans="1:17" x14ac:dyDescent="0.25">
      <c r="A181" t="str">
        <f t="shared" si="2"/>
        <v>1_5.9_42</v>
      </c>
      <c r="B181" s="1">
        <v>1</v>
      </c>
      <c r="C181">
        <v>1.5</v>
      </c>
      <c r="D181">
        <v>4685</v>
      </c>
      <c r="E181">
        <v>0.88</v>
      </c>
      <c r="F181">
        <v>4.25</v>
      </c>
      <c r="G181">
        <v>4.25</v>
      </c>
      <c r="H181">
        <v>6.38</v>
      </c>
      <c r="I181">
        <v>6.38</v>
      </c>
      <c r="J181">
        <v>5.9</v>
      </c>
      <c r="K181">
        <v>16000</v>
      </c>
      <c r="L181">
        <v>42</v>
      </c>
      <c r="M181">
        <v>0.48</v>
      </c>
      <c r="N181" t="s">
        <v>17</v>
      </c>
      <c r="O181">
        <v>91.58</v>
      </c>
      <c r="P181">
        <v>324.12</v>
      </c>
      <c r="Q181">
        <v>2</v>
      </c>
    </row>
    <row r="182" spans="1:17" x14ac:dyDescent="0.25">
      <c r="A182" t="str">
        <f t="shared" si="2"/>
        <v>0_5_46</v>
      </c>
      <c r="B182" s="1">
        <v>0</v>
      </c>
      <c r="C182">
        <v>1.27</v>
      </c>
      <c r="D182">
        <v>3274</v>
      </c>
      <c r="E182">
        <v>0.62</v>
      </c>
      <c r="F182">
        <v>4.1100000000000003</v>
      </c>
      <c r="G182">
        <v>4.1100000000000003</v>
      </c>
      <c r="H182">
        <v>5.22</v>
      </c>
      <c r="I182">
        <v>5.22</v>
      </c>
      <c r="J182">
        <v>5</v>
      </c>
      <c r="K182">
        <v>9516.59</v>
      </c>
      <c r="L182">
        <v>46</v>
      </c>
      <c r="M182">
        <v>0.22</v>
      </c>
      <c r="N182" t="s">
        <v>16</v>
      </c>
      <c r="O182">
        <v>100</v>
      </c>
      <c r="P182">
        <v>368.9</v>
      </c>
      <c r="Q182">
        <v>2</v>
      </c>
    </row>
    <row r="183" spans="1:17" x14ac:dyDescent="0.25">
      <c r="A183" t="str">
        <f t="shared" si="2"/>
        <v>1_5_46</v>
      </c>
      <c r="B183" s="1">
        <v>1</v>
      </c>
      <c r="C183">
        <v>1.33</v>
      </c>
      <c r="D183">
        <v>3309</v>
      </c>
      <c r="E183">
        <v>0.62</v>
      </c>
      <c r="F183">
        <v>5.16</v>
      </c>
      <c r="G183">
        <v>5.16</v>
      </c>
      <c r="H183">
        <v>6.88</v>
      </c>
      <c r="I183">
        <v>6.88</v>
      </c>
      <c r="J183">
        <v>5</v>
      </c>
      <c r="K183">
        <v>7000</v>
      </c>
      <c r="L183">
        <v>46</v>
      </c>
      <c r="M183">
        <v>1.88</v>
      </c>
      <c r="N183" t="s">
        <v>17</v>
      </c>
      <c r="O183">
        <v>65.36</v>
      </c>
      <c r="P183">
        <v>191.12</v>
      </c>
      <c r="Q183">
        <v>3</v>
      </c>
    </row>
    <row r="184" spans="1:17" x14ac:dyDescent="0.25">
      <c r="A184" t="str">
        <f t="shared" si="2"/>
        <v>0_5.1_46</v>
      </c>
      <c r="B184" s="1">
        <v>0</v>
      </c>
      <c r="C184">
        <v>1.36</v>
      </c>
      <c r="D184">
        <v>3264</v>
      </c>
      <c r="E184">
        <v>0.62</v>
      </c>
      <c r="F184">
        <v>4.68</v>
      </c>
      <c r="G184">
        <v>4.68</v>
      </c>
      <c r="H184">
        <v>6.36</v>
      </c>
      <c r="I184">
        <v>6.36</v>
      </c>
      <c r="J184">
        <v>5.0999999999999996</v>
      </c>
      <c r="K184">
        <v>10875.35</v>
      </c>
      <c r="L184">
        <v>46</v>
      </c>
      <c r="M184">
        <v>1.26</v>
      </c>
      <c r="N184" t="s">
        <v>16</v>
      </c>
      <c r="O184">
        <v>80.650000000000006</v>
      </c>
      <c r="P184">
        <v>319.7</v>
      </c>
      <c r="Q184">
        <v>2</v>
      </c>
    </row>
    <row r="185" spans="1:17" x14ac:dyDescent="0.25">
      <c r="A185" t="str">
        <f t="shared" si="2"/>
        <v>1_5.1_46</v>
      </c>
      <c r="B185" s="1">
        <v>1</v>
      </c>
      <c r="C185">
        <v>1.19</v>
      </c>
      <c r="D185">
        <v>3145</v>
      </c>
      <c r="E185">
        <v>0.59</v>
      </c>
      <c r="F185">
        <v>6.3</v>
      </c>
      <c r="G185">
        <v>6.3</v>
      </c>
      <c r="H185">
        <v>7.49</v>
      </c>
      <c r="I185">
        <v>7.49</v>
      </c>
      <c r="J185">
        <v>5.0999999999999996</v>
      </c>
      <c r="K185">
        <v>7345.8</v>
      </c>
      <c r="L185">
        <v>46</v>
      </c>
      <c r="M185">
        <v>2.39</v>
      </c>
      <c r="N185" t="s">
        <v>17</v>
      </c>
      <c r="O185">
        <v>100</v>
      </c>
      <c r="P185">
        <v>229.11</v>
      </c>
      <c r="Q185">
        <v>2</v>
      </c>
    </row>
    <row r="186" spans="1:17" x14ac:dyDescent="0.25">
      <c r="A186" t="str">
        <f t="shared" si="2"/>
        <v>0_5.2_46</v>
      </c>
      <c r="B186" s="1">
        <v>0</v>
      </c>
      <c r="C186">
        <v>1.27</v>
      </c>
      <c r="D186">
        <v>3286</v>
      </c>
      <c r="E186">
        <v>0.62</v>
      </c>
      <c r="F186">
        <v>4.09</v>
      </c>
      <c r="G186">
        <v>4.09</v>
      </c>
      <c r="H186">
        <v>5.21</v>
      </c>
      <c r="I186">
        <v>5.21</v>
      </c>
      <c r="J186">
        <v>5.2</v>
      </c>
      <c r="K186">
        <v>9584.2900000000009</v>
      </c>
      <c r="L186">
        <v>46</v>
      </c>
      <c r="M186">
        <v>0.01</v>
      </c>
      <c r="N186" t="s">
        <v>16</v>
      </c>
      <c r="O186">
        <v>100</v>
      </c>
      <c r="P186">
        <v>370.21</v>
      </c>
      <c r="Q186">
        <v>2</v>
      </c>
    </row>
    <row r="187" spans="1:17" x14ac:dyDescent="0.25">
      <c r="A187" t="str">
        <f t="shared" si="2"/>
        <v>1_5.2_46</v>
      </c>
      <c r="B187" s="1">
        <v>1</v>
      </c>
      <c r="C187">
        <v>1.49</v>
      </c>
      <c r="D187">
        <v>3717</v>
      </c>
      <c r="E187">
        <v>0.7</v>
      </c>
      <c r="F187">
        <v>5.15</v>
      </c>
      <c r="G187">
        <v>5.15</v>
      </c>
      <c r="H187">
        <v>7.7</v>
      </c>
      <c r="I187">
        <v>7.7</v>
      </c>
      <c r="J187">
        <v>5.2</v>
      </c>
      <c r="K187">
        <v>9633.85</v>
      </c>
      <c r="L187">
        <v>46</v>
      </c>
      <c r="M187">
        <v>2.5</v>
      </c>
      <c r="N187" t="s">
        <v>17</v>
      </c>
      <c r="O187">
        <v>51.04</v>
      </c>
      <c r="P187">
        <v>191.48</v>
      </c>
      <c r="Q187">
        <v>3</v>
      </c>
    </row>
    <row r="188" spans="1:17" x14ac:dyDescent="0.25">
      <c r="A188" t="str">
        <f t="shared" si="2"/>
        <v>0_5.3_46</v>
      </c>
      <c r="B188" s="1">
        <v>0</v>
      </c>
      <c r="C188">
        <v>1.35</v>
      </c>
      <c r="D188">
        <v>3679</v>
      </c>
      <c r="E188">
        <v>0.69</v>
      </c>
      <c r="F188">
        <v>3.69</v>
      </c>
      <c r="G188">
        <v>3.69</v>
      </c>
      <c r="H188">
        <v>4.97</v>
      </c>
      <c r="I188">
        <v>4.97</v>
      </c>
      <c r="J188">
        <v>5.3</v>
      </c>
      <c r="K188">
        <v>12016.98</v>
      </c>
      <c r="L188">
        <v>46</v>
      </c>
      <c r="M188">
        <v>0.33</v>
      </c>
      <c r="N188" t="s">
        <v>16</v>
      </c>
      <c r="O188">
        <v>100</v>
      </c>
      <c r="P188">
        <v>414.54</v>
      </c>
      <c r="Q188">
        <v>2</v>
      </c>
    </row>
    <row r="189" spans="1:17" x14ac:dyDescent="0.25">
      <c r="A189" t="str">
        <f t="shared" si="2"/>
        <v>1_5.3_46</v>
      </c>
      <c r="B189" s="1">
        <v>1</v>
      </c>
      <c r="C189">
        <v>1.46</v>
      </c>
      <c r="D189">
        <v>4440</v>
      </c>
      <c r="E189">
        <v>0.84</v>
      </c>
      <c r="F189">
        <v>4.91</v>
      </c>
      <c r="G189">
        <v>4.91</v>
      </c>
      <c r="H189">
        <v>7.19</v>
      </c>
      <c r="I189">
        <v>7.19</v>
      </c>
      <c r="J189">
        <v>5.3</v>
      </c>
      <c r="K189">
        <v>16000</v>
      </c>
      <c r="L189">
        <v>46</v>
      </c>
      <c r="M189">
        <v>1.89</v>
      </c>
      <c r="N189" t="s">
        <v>17</v>
      </c>
      <c r="O189">
        <v>89.54</v>
      </c>
      <c r="P189">
        <v>303.27</v>
      </c>
      <c r="Q189">
        <v>2</v>
      </c>
    </row>
    <row r="190" spans="1:17" x14ac:dyDescent="0.25">
      <c r="A190" t="str">
        <f t="shared" si="2"/>
        <v>0_5.4_46</v>
      </c>
      <c r="B190" s="1">
        <v>0</v>
      </c>
      <c r="C190">
        <v>1.29</v>
      </c>
      <c r="D190">
        <v>3378</v>
      </c>
      <c r="E190">
        <v>0.64</v>
      </c>
      <c r="F190">
        <v>3.99</v>
      </c>
      <c r="G190">
        <v>3.99</v>
      </c>
      <c r="H190">
        <v>5.15</v>
      </c>
      <c r="I190">
        <v>5.15</v>
      </c>
      <c r="J190">
        <v>5.4</v>
      </c>
      <c r="K190">
        <v>10130.19</v>
      </c>
      <c r="L190">
        <v>46</v>
      </c>
      <c r="M190">
        <v>0.25</v>
      </c>
      <c r="N190" t="s">
        <v>16</v>
      </c>
      <c r="O190">
        <v>100</v>
      </c>
      <c r="P190">
        <v>380.6</v>
      </c>
      <c r="Q190">
        <v>2</v>
      </c>
    </row>
    <row r="191" spans="1:17" x14ac:dyDescent="0.25">
      <c r="A191" t="str">
        <f t="shared" si="2"/>
        <v>1_5.4_46</v>
      </c>
      <c r="B191" s="1">
        <v>1</v>
      </c>
      <c r="C191">
        <v>1.31</v>
      </c>
      <c r="D191">
        <v>3999</v>
      </c>
      <c r="E191">
        <v>0.75</v>
      </c>
      <c r="F191">
        <v>5.09</v>
      </c>
      <c r="G191">
        <v>5.09</v>
      </c>
      <c r="H191">
        <v>6.66</v>
      </c>
      <c r="I191">
        <v>6.66</v>
      </c>
      <c r="J191">
        <v>5.4</v>
      </c>
      <c r="K191">
        <v>11881.6</v>
      </c>
      <c r="L191">
        <v>46</v>
      </c>
      <c r="M191">
        <v>1.26</v>
      </c>
      <c r="N191" t="s">
        <v>17</v>
      </c>
      <c r="O191">
        <v>100</v>
      </c>
      <c r="P191">
        <v>291.39</v>
      </c>
      <c r="Q191">
        <v>2</v>
      </c>
    </row>
    <row r="192" spans="1:17" x14ac:dyDescent="0.25">
      <c r="A192" t="str">
        <f t="shared" si="2"/>
        <v>0_5.5_46</v>
      </c>
      <c r="B192" s="1">
        <v>0</v>
      </c>
      <c r="C192">
        <v>1.3</v>
      </c>
      <c r="D192">
        <v>3451</v>
      </c>
      <c r="E192">
        <v>0.65</v>
      </c>
      <c r="F192">
        <v>3.91</v>
      </c>
      <c r="G192">
        <v>3.91</v>
      </c>
      <c r="H192">
        <v>5.0999999999999996</v>
      </c>
      <c r="I192">
        <v>5.0999999999999996</v>
      </c>
      <c r="J192">
        <v>5.5</v>
      </c>
      <c r="K192">
        <v>10570.98</v>
      </c>
      <c r="L192">
        <v>46</v>
      </c>
      <c r="M192">
        <v>0.4</v>
      </c>
      <c r="N192" t="s">
        <v>16</v>
      </c>
      <c r="O192">
        <v>100</v>
      </c>
      <c r="P192">
        <v>388.8</v>
      </c>
      <c r="Q192">
        <v>2</v>
      </c>
    </row>
    <row r="193" spans="1:17" x14ac:dyDescent="0.25">
      <c r="A193" t="str">
        <f t="shared" si="2"/>
        <v>1_5.5_46</v>
      </c>
      <c r="B193" s="1">
        <v>1</v>
      </c>
      <c r="C193">
        <v>1.47</v>
      </c>
      <c r="D193">
        <v>4392</v>
      </c>
      <c r="E193">
        <v>0.83</v>
      </c>
      <c r="F193">
        <v>5.04</v>
      </c>
      <c r="G193">
        <v>5.04</v>
      </c>
      <c r="H193">
        <v>7.43</v>
      </c>
      <c r="I193">
        <v>7.43</v>
      </c>
      <c r="J193">
        <v>5.5</v>
      </c>
      <c r="K193">
        <v>16000</v>
      </c>
      <c r="L193">
        <v>46</v>
      </c>
      <c r="M193">
        <v>1.93</v>
      </c>
      <c r="N193" t="s">
        <v>17</v>
      </c>
      <c r="O193">
        <v>86.69</v>
      </c>
      <c r="P193">
        <v>294.5</v>
      </c>
      <c r="Q193">
        <v>2</v>
      </c>
    </row>
    <row r="194" spans="1:17" x14ac:dyDescent="0.25">
      <c r="A194" t="str">
        <f t="shared" si="2"/>
        <v>0_5.6_46</v>
      </c>
      <c r="B194" s="1">
        <v>0</v>
      </c>
      <c r="C194">
        <v>1.27</v>
      </c>
      <c r="D194">
        <v>3252</v>
      </c>
      <c r="E194">
        <v>0.61</v>
      </c>
      <c r="F194">
        <v>4.13</v>
      </c>
      <c r="G194">
        <v>4.13</v>
      </c>
      <c r="H194">
        <v>5.24</v>
      </c>
      <c r="I194">
        <v>5.24</v>
      </c>
      <c r="J194">
        <v>5.6</v>
      </c>
      <c r="K194">
        <v>9388.58</v>
      </c>
      <c r="L194">
        <v>46</v>
      </c>
      <c r="M194">
        <v>0.36</v>
      </c>
      <c r="N194" t="s">
        <v>16</v>
      </c>
      <c r="O194">
        <v>100</v>
      </c>
      <c r="P194">
        <v>366.41</v>
      </c>
      <c r="Q194">
        <v>2</v>
      </c>
    </row>
    <row r="195" spans="1:17" x14ac:dyDescent="0.25">
      <c r="A195" t="str">
        <f t="shared" ref="A195:A258" si="3">B195&amp;"_"&amp;J195&amp;"_"&amp;L195</f>
        <v>1_5.6_46</v>
      </c>
      <c r="B195" s="1">
        <v>1</v>
      </c>
      <c r="C195">
        <v>1.49</v>
      </c>
      <c r="D195">
        <v>4344</v>
      </c>
      <c r="E195">
        <v>0.82</v>
      </c>
      <c r="F195">
        <v>5.18</v>
      </c>
      <c r="G195">
        <v>5.18</v>
      </c>
      <c r="H195">
        <v>7.7</v>
      </c>
      <c r="I195">
        <v>7.7</v>
      </c>
      <c r="J195">
        <v>5.6</v>
      </c>
      <c r="K195">
        <v>16000</v>
      </c>
      <c r="L195">
        <v>46</v>
      </c>
      <c r="M195">
        <v>2.1</v>
      </c>
      <c r="N195" t="s">
        <v>17</v>
      </c>
      <c r="O195">
        <v>83.71</v>
      </c>
      <c r="P195">
        <v>285.64</v>
      </c>
      <c r="Q195">
        <v>2</v>
      </c>
    </row>
    <row r="196" spans="1:17" x14ac:dyDescent="0.25">
      <c r="A196" t="str">
        <f t="shared" si="3"/>
        <v>0_5.7_46</v>
      </c>
      <c r="B196" s="1">
        <v>0</v>
      </c>
      <c r="C196">
        <v>1.25</v>
      </c>
      <c r="D196">
        <v>3173</v>
      </c>
      <c r="E196">
        <v>0.6</v>
      </c>
      <c r="F196">
        <v>4.2300000000000004</v>
      </c>
      <c r="G196">
        <v>4.2300000000000004</v>
      </c>
      <c r="H196">
        <v>5.3</v>
      </c>
      <c r="I196">
        <v>5.3</v>
      </c>
      <c r="J196">
        <v>5.7</v>
      </c>
      <c r="K196">
        <v>8941.19</v>
      </c>
      <c r="L196">
        <v>46</v>
      </c>
      <c r="M196">
        <v>0.4</v>
      </c>
      <c r="N196" t="s">
        <v>16</v>
      </c>
      <c r="O196">
        <v>100</v>
      </c>
      <c r="P196">
        <v>357.57</v>
      </c>
      <c r="Q196">
        <v>2</v>
      </c>
    </row>
    <row r="197" spans="1:17" x14ac:dyDescent="0.25">
      <c r="A197" t="str">
        <f t="shared" si="3"/>
        <v>1_5.7_46</v>
      </c>
      <c r="B197" s="1">
        <v>1</v>
      </c>
      <c r="C197">
        <v>1.29</v>
      </c>
      <c r="D197">
        <v>3868</v>
      </c>
      <c r="E197">
        <v>0.73</v>
      </c>
      <c r="F197">
        <v>5.24</v>
      </c>
      <c r="G197">
        <v>5.24</v>
      </c>
      <c r="H197">
        <v>6.76</v>
      </c>
      <c r="I197">
        <v>6.76</v>
      </c>
      <c r="J197">
        <v>5.7</v>
      </c>
      <c r="K197">
        <v>11114.29</v>
      </c>
      <c r="L197">
        <v>46</v>
      </c>
      <c r="M197">
        <v>1.06</v>
      </c>
      <c r="N197" t="s">
        <v>17</v>
      </c>
      <c r="O197">
        <v>100</v>
      </c>
      <c r="P197">
        <v>281.82</v>
      </c>
      <c r="Q197">
        <v>2</v>
      </c>
    </row>
    <row r="198" spans="1:17" x14ac:dyDescent="0.25">
      <c r="A198" t="str">
        <f t="shared" si="3"/>
        <v>0_5.8_46</v>
      </c>
      <c r="B198" s="1">
        <v>0</v>
      </c>
      <c r="C198">
        <v>1.24</v>
      </c>
      <c r="D198">
        <v>3062</v>
      </c>
      <c r="E198">
        <v>0.57999999999999996</v>
      </c>
      <c r="F198">
        <v>4.37</v>
      </c>
      <c r="G198">
        <v>4.37</v>
      </c>
      <c r="H198">
        <v>5.4</v>
      </c>
      <c r="I198">
        <v>5.4</v>
      </c>
      <c r="J198">
        <v>5.8</v>
      </c>
      <c r="K198">
        <v>8325.66</v>
      </c>
      <c r="L198">
        <v>46</v>
      </c>
      <c r="M198">
        <v>0.4</v>
      </c>
      <c r="N198" t="s">
        <v>16</v>
      </c>
      <c r="O198">
        <v>100</v>
      </c>
      <c r="P198">
        <v>345.04</v>
      </c>
      <c r="Q198">
        <v>2</v>
      </c>
    </row>
    <row r="199" spans="1:17" x14ac:dyDescent="0.25">
      <c r="A199" t="str">
        <f t="shared" si="3"/>
        <v>1_5.8_46</v>
      </c>
      <c r="B199" s="1">
        <v>1</v>
      </c>
      <c r="C199">
        <v>1.28</v>
      </c>
      <c r="D199">
        <v>3790</v>
      </c>
      <c r="E199">
        <v>0.72</v>
      </c>
      <c r="F199">
        <v>5.34</v>
      </c>
      <c r="G199">
        <v>5.34</v>
      </c>
      <c r="H199">
        <v>6.82</v>
      </c>
      <c r="I199">
        <v>6.82</v>
      </c>
      <c r="J199">
        <v>5.8</v>
      </c>
      <c r="K199">
        <v>10667.95</v>
      </c>
      <c r="L199">
        <v>46</v>
      </c>
      <c r="M199">
        <v>1.02</v>
      </c>
      <c r="N199" t="s">
        <v>17</v>
      </c>
      <c r="O199">
        <v>100</v>
      </c>
      <c r="P199">
        <v>276.10000000000002</v>
      </c>
      <c r="Q199">
        <v>2</v>
      </c>
    </row>
    <row r="200" spans="1:17" x14ac:dyDescent="0.25">
      <c r="A200" t="str">
        <f t="shared" si="3"/>
        <v>0_5.9_46</v>
      </c>
      <c r="B200" s="1">
        <v>0</v>
      </c>
      <c r="C200">
        <v>1.27</v>
      </c>
      <c r="D200">
        <v>3276</v>
      </c>
      <c r="E200">
        <v>0.62</v>
      </c>
      <c r="F200">
        <v>4.0999999999999996</v>
      </c>
      <c r="G200">
        <v>4.0999999999999996</v>
      </c>
      <c r="H200">
        <v>5.22</v>
      </c>
      <c r="I200">
        <v>5.22</v>
      </c>
      <c r="J200">
        <v>5.9</v>
      </c>
      <c r="K200">
        <v>9530.65</v>
      </c>
      <c r="L200">
        <v>46</v>
      </c>
      <c r="M200">
        <v>0.68</v>
      </c>
      <c r="N200" t="s">
        <v>16</v>
      </c>
      <c r="O200">
        <v>100</v>
      </c>
      <c r="P200">
        <v>369.17</v>
      </c>
      <c r="Q200">
        <v>2</v>
      </c>
    </row>
    <row r="201" spans="1:17" x14ac:dyDescent="0.25">
      <c r="A201" t="str">
        <f t="shared" si="3"/>
        <v>1_5.9_46</v>
      </c>
      <c r="B201" s="1">
        <v>1</v>
      </c>
      <c r="C201">
        <v>1.3</v>
      </c>
      <c r="D201">
        <v>3936</v>
      </c>
      <c r="E201">
        <v>0.74</v>
      </c>
      <c r="F201">
        <v>5.16</v>
      </c>
      <c r="G201">
        <v>5.16</v>
      </c>
      <c r="H201">
        <v>6.71</v>
      </c>
      <c r="I201">
        <v>6.71</v>
      </c>
      <c r="J201">
        <v>5.9</v>
      </c>
      <c r="K201">
        <v>11509.74</v>
      </c>
      <c r="L201">
        <v>46</v>
      </c>
      <c r="M201">
        <v>0.81</v>
      </c>
      <c r="N201" t="s">
        <v>17</v>
      </c>
      <c r="O201">
        <v>100</v>
      </c>
      <c r="P201">
        <v>286.79000000000002</v>
      </c>
      <c r="Q201">
        <v>2</v>
      </c>
    </row>
    <row r="202" spans="1:17" x14ac:dyDescent="0.25">
      <c r="A202" t="str">
        <f t="shared" si="3"/>
        <v>0_5_50</v>
      </c>
      <c r="B202" s="1">
        <v>0</v>
      </c>
      <c r="C202">
        <v>1.43</v>
      </c>
      <c r="D202">
        <v>4072</v>
      </c>
      <c r="E202">
        <v>0.77</v>
      </c>
      <c r="F202">
        <v>3.63</v>
      </c>
      <c r="G202">
        <v>3.63</v>
      </c>
      <c r="H202">
        <v>5.2</v>
      </c>
      <c r="I202">
        <v>5.2</v>
      </c>
      <c r="J202">
        <v>5</v>
      </c>
      <c r="K202">
        <v>16000</v>
      </c>
      <c r="L202">
        <v>50</v>
      </c>
      <c r="M202">
        <v>0.2</v>
      </c>
      <c r="N202" t="s">
        <v>16</v>
      </c>
      <c r="O202">
        <v>100</v>
      </c>
      <c r="P202">
        <v>458.79</v>
      </c>
      <c r="Q202">
        <v>2</v>
      </c>
    </row>
    <row r="203" spans="1:17" x14ac:dyDescent="0.25">
      <c r="A203" t="str">
        <f t="shared" si="3"/>
        <v>1_5_50</v>
      </c>
      <c r="B203" s="1">
        <v>1</v>
      </c>
      <c r="C203">
        <v>1.36</v>
      </c>
      <c r="D203">
        <v>4297</v>
      </c>
      <c r="E203">
        <v>0.81</v>
      </c>
      <c r="F203">
        <v>5.14</v>
      </c>
      <c r="G203">
        <v>5.14</v>
      </c>
      <c r="H203">
        <v>7.01</v>
      </c>
      <c r="I203">
        <v>7.01</v>
      </c>
      <c r="J203">
        <v>5</v>
      </c>
      <c r="K203">
        <v>14913.28</v>
      </c>
      <c r="L203">
        <v>50</v>
      </c>
      <c r="M203">
        <v>2.0099999999999998</v>
      </c>
      <c r="N203" t="s">
        <v>17</v>
      </c>
      <c r="O203">
        <v>99.99</v>
      </c>
      <c r="P203">
        <v>313.08</v>
      </c>
      <c r="Q203">
        <v>2</v>
      </c>
    </row>
    <row r="204" spans="1:17" x14ac:dyDescent="0.25">
      <c r="A204" t="str">
        <f t="shared" si="3"/>
        <v>0_5.1_50</v>
      </c>
      <c r="B204" s="1">
        <v>0</v>
      </c>
      <c r="C204">
        <v>1.27</v>
      </c>
      <c r="D204">
        <v>3227</v>
      </c>
      <c r="E204">
        <v>0.61</v>
      </c>
      <c r="F204">
        <v>4.49</v>
      </c>
      <c r="G204">
        <v>4.49</v>
      </c>
      <c r="H204">
        <v>5.68</v>
      </c>
      <c r="I204">
        <v>5.68</v>
      </c>
      <c r="J204">
        <v>5.0999999999999996</v>
      </c>
      <c r="K204">
        <v>10052.91</v>
      </c>
      <c r="L204">
        <v>50</v>
      </c>
      <c r="M204">
        <v>0.57999999999999996</v>
      </c>
      <c r="N204" t="s">
        <v>16</v>
      </c>
      <c r="O204">
        <v>100</v>
      </c>
      <c r="P204">
        <v>363.67</v>
      </c>
      <c r="Q204">
        <v>2</v>
      </c>
    </row>
    <row r="205" spans="1:17" x14ac:dyDescent="0.25">
      <c r="A205" t="str">
        <f t="shared" si="3"/>
        <v>1_5.1_50</v>
      </c>
      <c r="B205" s="1">
        <v>1</v>
      </c>
      <c r="C205">
        <v>1.33</v>
      </c>
      <c r="D205">
        <v>3978</v>
      </c>
      <c r="E205">
        <v>0.75</v>
      </c>
      <c r="F205">
        <v>5.62</v>
      </c>
      <c r="G205">
        <v>5.62</v>
      </c>
      <c r="H205">
        <v>7.48</v>
      </c>
      <c r="I205">
        <v>7.48</v>
      </c>
      <c r="J205">
        <v>5.0999999999999996</v>
      </c>
      <c r="K205">
        <v>13227.7</v>
      </c>
      <c r="L205">
        <v>50</v>
      </c>
      <c r="M205">
        <v>2.38</v>
      </c>
      <c r="N205" t="s">
        <v>17</v>
      </c>
      <c r="O205">
        <v>96.13</v>
      </c>
      <c r="P205">
        <v>283.14</v>
      </c>
      <c r="Q205">
        <v>2</v>
      </c>
    </row>
    <row r="206" spans="1:17" x14ac:dyDescent="0.25">
      <c r="A206" t="str">
        <f t="shared" si="3"/>
        <v>0_5.2_50</v>
      </c>
      <c r="B206" s="1">
        <v>0</v>
      </c>
      <c r="C206">
        <v>1.23</v>
      </c>
      <c r="D206">
        <v>3013</v>
      </c>
      <c r="E206">
        <v>0.56999999999999995</v>
      </c>
      <c r="F206">
        <v>4.78</v>
      </c>
      <c r="G206">
        <v>4.78</v>
      </c>
      <c r="H206">
        <v>5.88</v>
      </c>
      <c r="I206">
        <v>5.88</v>
      </c>
      <c r="J206">
        <v>5.2</v>
      </c>
      <c r="K206">
        <v>8761.3799999999992</v>
      </c>
      <c r="L206">
        <v>50</v>
      </c>
      <c r="M206">
        <v>0.68</v>
      </c>
      <c r="N206" t="s">
        <v>16</v>
      </c>
      <c r="O206">
        <v>100</v>
      </c>
      <c r="P206">
        <v>339.5</v>
      </c>
      <c r="Q206">
        <v>2</v>
      </c>
    </row>
    <row r="207" spans="1:17" x14ac:dyDescent="0.25">
      <c r="A207" t="str">
        <f t="shared" si="3"/>
        <v>1_5.2_50</v>
      </c>
      <c r="B207" s="1">
        <v>1</v>
      </c>
      <c r="C207">
        <v>1.27</v>
      </c>
      <c r="D207">
        <v>3737</v>
      </c>
      <c r="E207">
        <v>0.71</v>
      </c>
      <c r="F207">
        <v>5.82</v>
      </c>
      <c r="G207">
        <v>5.82</v>
      </c>
      <c r="H207">
        <v>7.4</v>
      </c>
      <c r="I207">
        <v>7.4</v>
      </c>
      <c r="J207">
        <v>5.2</v>
      </c>
      <c r="K207">
        <v>11274.61</v>
      </c>
      <c r="L207">
        <v>50</v>
      </c>
      <c r="M207">
        <v>2.2000000000000002</v>
      </c>
      <c r="N207" t="s">
        <v>17</v>
      </c>
      <c r="O207">
        <v>100</v>
      </c>
      <c r="P207">
        <v>272.26</v>
      </c>
      <c r="Q207">
        <v>2</v>
      </c>
    </row>
    <row r="208" spans="1:17" x14ac:dyDescent="0.25">
      <c r="A208" t="str">
        <f t="shared" si="3"/>
        <v>0_5.3_50</v>
      </c>
      <c r="B208" s="1">
        <v>0</v>
      </c>
      <c r="C208">
        <v>1.43</v>
      </c>
      <c r="D208">
        <v>4072</v>
      </c>
      <c r="E208">
        <v>0.77</v>
      </c>
      <c r="F208">
        <v>3.63</v>
      </c>
      <c r="G208">
        <v>3.63</v>
      </c>
      <c r="H208">
        <v>5.2</v>
      </c>
      <c r="I208">
        <v>5.2</v>
      </c>
      <c r="J208">
        <v>5.3</v>
      </c>
      <c r="K208">
        <v>16000</v>
      </c>
      <c r="L208">
        <v>50</v>
      </c>
      <c r="M208">
        <v>0.1</v>
      </c>
      <c r="N208" t="s">
        <v>16</v>
      </c>
      <c r="O208">
        <v>100</v>
      </c>
      <c r="P208">
        <v>458.79</v>
      </c>
      <c r="Q208">
        <v>2</v>
      </c>
    </row>
    <row r="209" spans="1:17" x14ac:dyDescent="0.25">
      <c r="A209" t="str">
        <f t="shared" si="3"/>
        <v>1_5.3_50</v>
      </c>
      <c r="B209" s="1">
        <v>1</v>
      </c>
      <c r="C209">
        <v>1.37</v>
      </c>
      <c r="D209">
        <v>4317</v>
      </c>
      <c r="E209">
        <v>0.81</v>
      </c>
      <c r="F209">
        <v>5.14</v>
      </c>
      <c r="G209">
        <v>5.14</v>
      </c>
      <c r="H209">
        <v>7.05</v>
      </c>
      <c r="I209">
        <v>7.05</v>
      </c>
      <c r="J209">
        <v>5.3</v>
      </c>
      <c r="K209">
        <v>15152.19</v>
      </c>
      <c r="L209">
        <v>50</v>
      </c>
      <c r="M209">
        <v>1.75</v>
      </c>
      <c r="N209" t="s">
        <v>17</v>
      </c>
      <c r="O209">
        <v>99.23</v>
      </c>
      <c r="P209">
        <v>313.08</v>
      </c>
      <c r="Q209">
        <v>2</v>
      </c>
    </row>
    <row r="210" spans="1:17" x14ac:dyDescent="0.25">
      <c r="A210" t="str">
        <f t="shared" si="3"/>
        <v>0_5.4_50</v>
      </c>
      <c r="B210" s="1">
        <v>0</v>
      </c>
      <c r="C210">
        <v>1.41</v>
      </c>
      <c r="D210">
        <v>3969</v>
      </c>
      <c r="E210">
        <v>0.75</v>
      </c>
      <c r="F210">
        <v>3.71</v>
      </c>
      <c r="G210">
        <v>3.71</v>
      </c>
      <c r="H210">
        <v>5.24</v>
      </c>
      <c r="I210">
        <v>5.24</v>
      </c>
      <c r="J210">
        <v>5.4</v>
      </c>
      <c r="K210">
        <v>15202.42</v>
      </c>
      <c r="L210">
        <v>50</v>
      </c>
      <c r="M210">
        <v>0.16</v>
      </c>
      <c r="N210" t="s">
        <v>16</v>
      </c>
      <c r="O210">
        <v>100</v>
      </c>
      <c r="P210">
        <v>447.21</v>
      </c>
      <c r="Q210">
        <v>2</v>
      </c>
    </row>
    <row r="211" spans="1:17" x14ac:dyDescent="0.25">
      <c r="A211" t="str">
        <f t="shared" si="3"/>
        <v>1_5.4_50</v>
      </c>
      <c r="B211" s="1">
        <v>1</v>
      </c>
      <c r="C211">
        <v>1.41</v>
      </c>
      <c r="D211">
        <v>4370</v>
      </c>
      <c r="E211">
        <v>0.82</v>
      </c>
      <c r="F211">
        <v>5.18</v>
      </c>
      <c r="G211">
        <v>5.18</v>
      </c>
      <c r="H211">
        <v>7.28</v>
      </c>
      <c r="I211">
        <v>7.28</v>
      </c>
      <c r="J211">
        <v>5.4</v>
      </c>
      <c r="K211">
        <v>16000</v>
      </c>
      <c r="L211">
        <v>50</v>
      </c>
      <c r="M211">
        <v>1.88</v>
      </c>
      <c r="N211" t="s">
        <v>17</v>
      </c>
      <c r="O211">
        <v>95.85</v>
      </c>
      <c r="P211">
        <v>310.5</v>
      </c>
      <c r="Q211">
        <v>2</v>
      </c>
    </row>
    <row r="212" spans="1:17" x14ac:dyDescent="0.25">
      <c r="A212" t="str">
        <f t="shared" si="3"/>
        <v>0_5.5_50</v>
      </c>
      <c r="B212" s="1">
        <v>0</v>
      </c>
      <c r="C212">
        <v>1.38</v>
      </c>
      <c r="D212">
        <v>3818</v>
      </c>
      <c r="E212">
        <v>0.72</v>
      </c>
      <c r="F212">
        <v>3.85</v>
      </c>
      <c r="G212">
        <v>3.85</v>
      </c>
      <c r="H212">
        <v>5.3</v>
      </c>
      <c r="I212">
        <v>5.3</v>
      </c>
      <c r="J212">
        <v>5.5</v>
      </c>
      <c r="K212">
        <v>14065.23</v>
      </c>
      <c r="L212">
        <v>50</v>
      </c>
      <c r="M212">
        <v>0.2</v>
      </c>
      <c r="N212" t="s">
        <v>16</v>
      </c>
      <c r="O212">
        <v>100</v>
      </c>
      <c r="P212">
        <v>430.16</v>
      </c>
      <c r="Q212">
        <v>2</v>
      </c>
    </row>
    <row r="213" spans="1:17" x14ac:dyDescent="0.25">
      <c r="A213" t="str">
        <f t="shared" si="3"/>
        <v>1_5.5_50</v>
      </c>
      <c r="B213" s="1">
        <v>1</v>
      </c>
      <c r="C213">
        <v>1.47</v>
      </c>
      <c r="D213">
        <v>3731</v>
      </c>
      <c r="E213">
        <v>0.7</v>
      </c>
      <c r="F213">
        <v>5.24</v>
      </c>
      <c r="G213">
        <v>5.24</v>
      </c>
      <c r="H213">
        <v>7.7</v>
      </c>
      <c r="I213">
        <v>7.7</v>
      </c>
      <c r="J213">
        <v>5.5</v>
      </c>
      <c r="K213">
        <v>10098.19</v>
      </c>
      <c r="L213">
        <v>50</v>
      </c>
      <c r="M213">
        <v>2.2000000000000002</v>
      </c>
      <c r="N213" t="s">
        <v>17</v>
      </c>
      <c r="O213">
        <v>58.37</v>
      </c>
      <c r="P213">
        <v>204.12</v>
      </c>
      <c r="Q213">
        <v>3</v>
      </c>
    </row>
    <row r="214" spans="1:17" x14ac:dyDescent="0.25">
      <c r="A214" t="str">
        <f t="shared" si="3"/>
        <v>0_5.6_50</v>
      </c>
      <c r="B214" s="1">
        <v>0</v>
      </c>
      <c r="C214">
        <v>1.21</v>
      </c>
      <c r="D214">
        <v>2856</v>
      </c>
      <c r="E214">
        <v>0.54</v>
      </c>
      <c r="F214">
        <v>5.0199999999999996</v>
      </c>
      <c r="G214">
        <v>5.0199999999999996</v>
      </c>
      <c r="H214">
        <v>6.05</v>
      </c>
      <c r="I214">
        <v>6.05</v>
      </c>
      <c r="J214">
        <v>5.6</v>
      </c>
      <c r="K214">
        <v>7872.2</v>
      </c>
      <c r="L214">
        <v>50</v>
      </c>
      <c r="M214">
        <v>0.45</v>
      </c>
      <c r="N214" t="s">
        <v>16</v>
      </c>
      <c r="O214">
        <v>100</v>
      </c>
      <c r="P214">
        <v>321.82</v>
      </c>
      <c r="Q214">
        <v>2</v>
      </c>
    </row>
    <row r="215" spans="1:17" x14ac:dyDescent="0.25">
      <c r="A215" t="str">
        <f t="shared" si="3"/>
        <v>1_5.6_50</v>
      </c>
      <c r="B215" s="1">
        <v>1</v>
      </c>
      <c r="C215">
        <v>1.25</v>
      </c>
      <c r="D215">
        <v>3616</v>
      </c>
      <c r="E215">
        <v>0.68</v>
      </c>
      <c r="F215">
        <v>5.99</v>
      </c>
      <c r="G215">
        <v>5.99</v>
      </c>
      <c r="H215">
        <v>7.51</v>
      </c>
      <c r="I215">
        <v>7.51</v>
      </c>
      <c r="J215">
        <v>5.6</v>
      </c>
      <c r="K215">
        <v>10555.92</v>
      </c>
      <c r="L215">
        <v>50</v>
      </c>
      <c r="M215">
        <v>1.91</v>
      </c>
      <c r="N215" t="s">
        <v>17</v>
      </c>
      <c r="O215">
        <v>100</v>
      </c>
      <c r="P215">
        <v>263.44</v>
      </c>
      <c r="Q215">
        <v>2</v>
      </c>
    </row>
    <row r="216" spans="1:17" x14ac:dyDescent="0.25">
      <c r="A216" t="str">
        <f t="shared" si="3"/>
        <v>0_5.7_50</v>
      </c>
      <c r="B216" s="1">
        <v>0</v>
      </c>
      <c r="C216">
        <v>1.26</v>
      </c>
      <c r="D216">
        <v>3208</v>
      </c>
      <c r="E216">
        <v>0.61</v>
      </c>
      <c r="F216">
        <v>4.51</v>
      </c>
      <c r="G216">
        <v>4.51</v>
      </c>
      <c r="H216">
        <v>5.7</v>
      </c>
      <c r="I216">
        <v>5.7</v>
      </c>
      <c r="J216">
        <v>5.7</v>
      </c>
      <c r="K216">
        <v>9931.2800000000007</v>
      </c>
      <c r="L216">
        <v>50</v>
      </c>
      <c r="M216">
        <v>0</v>
      </c>
      <c r="N216" t="s">
        <v>16</v>
      </c>
      <c r="O216">
        <v>100</v>
      </c>
      <c r="P216">
        <v>361.46</v>
      </c>
      <c r="Q216">
        <v>2</v>
      </c>
    </row>
    <row r="217" spans="1:17" x14ac:dyDescent="0.25">
      <c r="A217" t="str">
        <f t="shared" si="3"/>
        <v>1_5.7_50</v>
      </c>
      <c r="B217" s="1">
        <v>1</v>
      </c>
      <c r="C217">
        <v>1.36</v>
      </c>
      <c r="D217">
        <v>4041</v>
      </c>
      <c r="E217">
        <v>0.76</v>
      </c>
      <c r="F217">
        <v>5.64</v>
      </c>
      <c r="G217">
        <v>5.64</v>
      </c>
      <c r="H217">
        <v>7.67</v>
      </c>
      <c r="I217">
        <v>7.67</v>
      </c>
      <c r="J217">
        <v>5.7</v>
      </c>
      <c r="K217">
        <v>14004.44</v>
      </c>
      <c r="L217">
        <v>50</v>
      </c>
      <c r="M217">
        <v>1.97</v>
      </c>
      <c r="N217" t="s">
        <v>17</v>
      </c>
      <c r="O217">
        <v>93.06</v>
      </c>
      <c r="P217">
        <v>282.2</v>
      </c>
      <c r="Q217">
        <v>2</v>
      </c>
    </row>
    <row r="218" spans="1:17" x14ac:dyDescent="0.25">
      <c r="A218" t="str">
        <f t="shared" si="3"/>
        <v>0_5.8_50</v>
      </c>
      <c r="B218" s="1">
        <v>0</v>
      </c>
      <c r="C218">
        <v>1.22</v>
      </c>
      <c r="D218">
        <v>2939</v>
      </c>
      <c r="E218">
        <v>0.55000000000000004</v>
      </c>
      <c r="F218">
        <v>4.8899999999999997</v>
      </c>
      <c r="G218">
        <v>4.8899999999999997</v>
      </c>
      <c r="H218">
        <v>5.96</v>
      </c>
      <c r="I218">
        <v>5.96</v>
      </c>
      <c r="J218">
        <v>5.8</v>
      </c>
      <c r="K218">
        <v>8335.06</v>
      </c>
      <c r="L218">
        <v>50</v>
      </c>
      <c r="M218">
        <v>0.16</v>
      </c>
      <c r="N218" t="s">
        <v>16</v>
      </c>
      <c r="O218">
        <v>100</v>
      </c>
      <c r="P218">
        <v>331.14</v>
      </c>
      <c r="Q218">
        <v>2</v>
      </c>
    </row>
    <row r="219" spans="1:17" x14ac:dyDescent="0.25">
      <c r="A219" t="str">
        <f t="shared" si="3"/>
        <v>1_5.8_50</v>
      </c>
      <c r="B219" s="1">
        <v>1</v>
      </c>
      <c r="C219">
        <v>1.26</v>
      </c>
      <c r="D219">
        <v>3681</v>
      </c>
      <c r="E219">
        <v>0.69</v>
      </c>
      <c r="F219">
        <v>5.9</v>
      </c>
      <c r="G219">
        <v>5.9</v>
      </c>
      <c r="H219">
        <v>7.45</v>
      </c>
      <c r="I219">
        <v>7.45</v>
      </c>
      <c r="J219">
        <v>5.8</v>
      </c>
      <c r="K219">
        <v>10939.2</v>
      </c>
      <c r="L219">
        <v>50</v>
      </c>
      <c r="M219">
        <v>1.65</v>
      </c>
      <c r="N219" t="s">
        <v>17</v>
      </c>
      <c r="O219">
        <v>100</v>
      </c>
      <c r="P219">
        <v>268.18</v>
      </c>
      <c r="Q219">
        <v>2</v>
      </c>
    </row>
    <row r="220" spans="1:17" x14ac:dyDescent="0.25">
      <c r="A220" t="str">
        <f t="shared" si="3"/>
        <v>0_5.9_50</v>
      </c>
      <c r="B220" s="1">
        <v>0</v>
      </c>
      <c r="C220">
        <v>1.2</v>
      </c>
      <c r="D220">
        <v>2737</v>
      </c>
      <c r="E220">
        <v>0.52</v>
      </c>
      <c r="F220">
        <v>5.3</v>
      </c>
      <c r="G220">
        <v>5.3</v>
      </c>
      <c r="H220">
        <v>6.33</v>
      </c>
      <c r="I220">
        <v>6.33</v>
      </c>
      <c r="J220">
        <v>5.9</v>
      </c>
      <c r="K220">
        <v>7326.41</v>
      </c>
      <c r="L220">
        <v>50</v>
      </c>
      <c r="M220">
        <v>0.43</v>
      </c>
      <c r="N220" t="s">
        <v>16</v>
      </c>
      <c r="O220">
        <v>97.34</v>
      </c>
      <c r="P220">
        <v>302.86</v>
      </c>
      <c r="Q220">
        <v>2</v>
      </c>
    </row>
    <row r="221" spans="1:17" x14ac:dyDescent="0.25">
      <c r="A221" t="str">
        <f t="shared" si="3"/>
        <v>1_5.9_50</v>
      </c>
      <c r="B221" s="1">
        <v>1</v>
      </c>
      <c r="C221">
        <v>1.23</v>
      </c>
      <c r="D221">
        <v>3433</v>
      </c>
      <c r="E221">
        <v>0.65</v>
      </c>
      <c r="F221">
        <v>6.27</v>
      </c>
      <c r="G221">
        <v>6.27</v>
      </c>
      <c r="H221">
        <v>7.7</v>
      </c>
      <c r="I221">
        <v>7.7</v>
      </c>
      <c r="J221">
        <v>5.9</v>
      </c>
      <c r="K221">
        <v>9517.81</v>
      </c>
      <c r="L221">
        <v>50</v>
      </c>
      <c r="M221">
        <v>1.8</v>
      </c>
      <c r="N221" t="s">
        <v>17</v>
      </c>
      <c r="O221">
        <v>100</v>
      </c>
      <c r="P221">
        <v>250.15</v>
      </c>
      <c r="Q221">
        <v>2</v>
      </c>
    </row>
    <row r="222" spans="1:17" x14ac:dyDescent="0.25">
      <c r="A222" t="str">
        <f t="shared" si="3"/>
        <v>0_5_54</v>
      </c>
      <c r="B222" s="1">
        <v>0</v>
      </c>
      <c r="C222">
        <v>1.56</v>
      </c>
      <c r="D222">
        <v>3382</v>
      </c>
      <c r="E222">
        <v>0.64</v>
      </c>
      <c r="F222">
        <v>3.57</v>
      </c>
      <c r="G222">
        <v>3.57</v>
      </c>
      <c r="H222">
        <v>5.58</v>
      </c>
      <c r="I222">
        <v>5.58</v>
      </c>
      <c r="J222">
        <v>5</v>
      </c>
      <c r="K222">
        <v>8902.9500000000007</v>
      </c>
      <c r="L222">
        <v>54</v>
      </c>
      <c r="M222">
        <v>0.57999999999999996</v>
      </c>
      <c r="N222" t="s">
        <v>16</v>
      </c>
      <c r="O222">
        <v>49.97</v>
      </c>
      <c r="P222">
        <v>252.21</v>
      </c>
      <c r="Q222">
        <v>4</v>
      </c>
    </row>
    <row r="223" spans="1:17" x14ac:dyDescent="0.25">
      <c r="A223" t="str">
        <f t="shared" si="3"/>
        <v>1_5_54</v>
      </c>
      <c r="B223" s="1">
        <v>1</v>
      </c>
      <c r="C223">
        <v>1.36</v>
      </c>
      <c r="D223">
        <v>4283</v>
      </c>
      <c r="E223">
        <v>0.81</v>
      </c>
      <c r="F223">
        <v>5.52</v>
      </c>
      <c r="G223">
        <v>5.52</v>
      </c>
      <c r="H223">
        <v>7.53</v>
      </c>
      <c r="I223">
        <v>7.53</v>
      </c>
      <c r="J223">
        <v>5</v>
      </c>
      <c r="K223">
        <v>16000</v>
      </c>
      <c r="L223">
        <v>54</v>
      </c>
      <c r="M223">
        <v>2.5299999999999998</v>
      </c>
      <c r="N223" t="s">
        <v>17</v>
      </c>
      <c r="O223">
        <v>100</v>
      </c>
      <c r="P223">
        <v>312.08999999999997</v>
      </c>
      <c r="Q223">
        <v>2</v>
      </c>
    </row>
    <row r="224" spans="1:17" x14ac:dyDescent="0.25">
      <c r="A224" t="str">
        <f t="shared" si="3"/>
        <v>0_5.1_54</v>
      </c>
      <c r="B224" s="1">
        <v>0</v>
      </c>
      <c r="C224">
        <v>1.4</v>
      </c>
      <c r="D224">
        <v>3918</v>
      </c>
      <c r="E224">
        <v>0.74</v>
      </c>
      <c r="F224">
        <v>4.03</v>
      </c>
      <c r="G224">
        <v>4.03</v>
      </c>
      <c r="H224">
        <v>5.66</v>
      </c>
      <c r="I224">
        <v>5.66</v>
      </c>
      <c r="J224">
        <v>5.0999999999999996</v>
      </c>
      <c r="K224">
        <v>16000</v>
      </c>
      <c r="L224">
        <v>54</v>
      </c>
      <c r="M224">
        <v>0.56000000000000005</v>
      </c>
      <c r="N224" t="s">
        <v>16</v>
      </c>
      <c r="O224">
        <v>100</v>
      </c>
      <c r="P224">
        <v>441.48</v>
      </c>
      <c r="Q224">
        <v>2</v>
      </c>
    </row>
    <row r="225" spans="1:17" x14ac:dyDescent="0.25">
      <c r="A225" t="str">
        <f t="shared" si="3"/>
        <v>1_5.1_54</v>
      </c>
      <c r="B225" s="1">
        <v>1</v>
      </c>
      <c r="C225">
        <v>1.37</v>
      </c>
      <c r="D225">
        <v>3488</v>
      </c>
      <c r="E225">
        <v>0.66</v>
      </c>
      <c r="F225">
        <v>5.6</v>
      </c>
      <c r="G225">
        <v>5.6</v>
      </c>
      <c r="H225">
        <v>7.66</v>
      </c>
      <c r="I225">
        <v>7.66</v>
      </c>
      <c r="J225">
        <v>5.0999999999999996</v>
      </c>
      <c r="K225">
        <v>8999.99</v>
      </c>
      <c r="L225">
        <v>54</v>
      </c>
      <c r="M225">
        <v>2.56</v>
      </c>
      <c r="N225" t="s">
        <v>17</v>
      </c>
      <c r="O225">
        <v>67.650000000000006</v>
      </c>
      <c r="P225">
        <v>204.95</v>
      </c>
      <c r="Q225">
        <v>3</v>
      </c>
    </row>
    <row r="226" spans="1:17" x14ac:dyDescent="0.25">
      <c r="A226" t="str">
        <f t="shared" si="3"/>
        <v>0_5.2_54</v>
      </c>
      <c r="B226" s="1">
        <v>0</v>
      </c>
      <c r="C226">
        <v>1.4</v>
      </c>
      <c r="D226">
        <v>3918</v>
      </c>
      <c r="E226">
        <v>0.74</v>
      </c>
      <c r="F226">
        <v>4.03</v>
      </c>
      <c r="G226">
        <v>4.03</v>
      </c>
      <c r="H226">
        <v>5.66</v>
      </c>
      <c r="I226">
        <v>5.66</v>
      </c>
      <c r="J226">
        <v>5.2</v>
      </c>
      <c r="K226">
        <v>16000</v>
      </c>
      <c r="L226">
        <v>54</v>
      </c>
      <c r="M226">
        <v>0.46</v>
      </c>
      <c r="N226" t="s">
        <v>16</v>
      </c>
      <c r="O226">
        <v>100</v>
      </c>
      <c r="P226">
        <v>441.48</v>
      </c>
      <c r="Q226">
        <v>2</v>
      </c>
    </row>
    <row r="227" spans="1:17" x14ac:dyDescent="0.25">
      <c r="A227" t="str">
        <f t="shared" si="3"/>
        <v>1_5.2_54</v>
      </c>
      <c r="B227" s="1">
        <v>1</v>
      </c>
      <c r="C227">
        <v>1.37</v>
      </c>
      <c r="D227">
        <v>4256</v>
      </c>
      <c r="E227">
        <v>0.8</v>
      </c>
      <c r="F227">
        <v>5.6</v>
      </c>
      <c r="G227">
        <v>5.6</v>
      </c>
      <c r="H227">
        <v>7.65</v>
      </c>
      <c r="I227">
        <v>7.65</v>
      </c>
      <c r="J227">
        <v>5.2</v>
      </c>
      <c r="K227">
        <v>16000</v>
      </c>
      <c r="L227">
        <v>54</v>
      </c>
      <c r="M227">
        <v>2.4500000000000002</v>
      </c>
      <c r="N227" t="s">
        <v>17</v>
      </c>
      <c r="O227">
        <v>98.57</v>
      </c>
      <c r="P227">
        <v>307.43</v>
      </c>
      <c r="Q227">
        <v>2</v>
      </c>
    </row>
    <row r="228" spans="1:17" x14ac:dyDescent="0.25">
      <c r="A228" t="str">
        <f t="shared" si="3"/>
        <v>0_5.3_54</v>
      </c>
      <c r="B228" s="1">
        <v>0</v>
      </c>
      <c r="C228">
        <v>1.37</v>
      </c>
      <c r="D228">
        <v>3765</v>
      </c>
      <c r="E228">
        <v>0.71</v>
      </c>
      <c r="F228">
        <v>4.18</v>
      </c>
      <c r="G228">
        <v>4.18</v>
      </c>
      <c r="H228">
        <v>5.73</v>
      </c>
      <c r="I228">
        <v>5.73</v>
      </c>
      <c r="J228">
        <v>5.3</v>
      </c>
      <c r="K228">
        <v>14777.49</v>
      </c>
      <c r="L228">
        <v>54</v>
      </c>
      <c r="M228">
        <v>0.43</v>
      </c>
      <c r="N228" t="s">
        <v>16</v>
      </c>
      <c r="O228">
        <v>100</v>
      </c>
      <c r="P228">
        <v>424.27</v>
      </c>
      <c r="Q228">
        <v>2</v>
      </c>
    </row>
    <row r="229" spans="1:17" x14ac:dyDescent="0.25">
      <c r="A229" t="str">
        <f t="shared" si="3"/>
        <v>1_5.3_54</v>
      </c>
      <c r="B229" s="1">
        <v>1</v>
      </c>
      <c r="C229">
        <v>1.36</v>
      </c>
      <c r="D229">
        <v>4199</v>
      </c>
      <c r="E229">
        <v>0.79</v>
      </c>
      <c r="F229">
        <v>5.67</v>
      </c>
      <c r="G229">
        <v>5.67</v>
      </c>
      <c r="H229">
        <v>7.7</v>
      </c>
      <c r="I229">
        <v>7.7</v>
      </c>
      <c r="J229">
        <v>5.3</v>
      </c>
      <c r="K229">
        <v>15599.49</v>
      </c>
      <c r="L229">
        <v>54</v>
      </c>
      <c r="M229">
        <v>2.4</v>
      </c>
      <c r="N229" t="s">
        <v>17</v>
      </c>
      <c r="O229">
        <v>98.38</v>
      </c>
      <c r="P229">
        <v>302.94</v>
      </c>
      <c r="Q229">
        <v>2</v>
      </c>
    </row>
    <row r="230" spans="1:17" x14ac:dyDescent="0.25">
      <c r="A230" t="str">
        <f t="shared" si="3"/>
        <v>0_5.4_54</v>
      </c>
      <c r="B230" s="1">
        <v>0</v>
      </c>
      <c r="C230">
        <v>1.4</v>
      </c>
      <c r="D230">
        <v>3918</v>
      </c>
      <c r="E230">
        <v>0.74</v>
      </c>
      <c r="F230">
        <v>4.03</v>
      </c>
      <c r="G230">
        <v>4.03</v>
      </c>
      <c r="H230">
        <v>5.66</v>
      </c>
      <c r="I230">
        <v>5.66</v>
      </c>
      <c r="J230">
        <v>5.4</v>
      </c>
      <c r="K230">
        <v>16000</v>
      </c>
      <c r="L230">
        <v>54</v>
      </c>
      <c r="M230">
        <v>0.26</v>
      </c>
      <c r="N230" t="s">
        <v>16</v>
      </c>
      <c r="O230">
        <v>100</v>
      </c>
      <c r="P230">
        <v>441.48</v>
      </c>
      <c r="Q230">
        <v>2</v>
      </c>
    </row>
    <row r="231" spans="1:17" x14ac:dyDescent="0.25">
      <c r="A231" t="str">
        <f t="shared" si="3"/>
        <v>1_5.4_54</v>
      </c>
      <c r="B231" s="1">
        <v>1</v>
      </c>
      <c r="C231">
        <v>1.37</v>
      </c>
      <c r="D231">
        <v>4256</v>
      </c>
      <c r="E231">
        <v>0.8</v>
      </c>
      <c r="F231">
        <v>5.6</v>
      </c>
      <c r="G231">
        <v>5.6</v>
      </c>
      <c r="H231">
        <v>7.65</v>
      </c>
      <c r="I231">
        <v>7.65</v>
      </c>
      <c r="J231">
        <v>5.4</v>
      </c>
      <c r="K231">
        <v>15996.62</v>
      </c>
      <c r="L231">
        <v>54</v>
      </c>
      <c r="M231">
        <v>2.25</v>
      </c>
      <c r="N231" t="s">
        <v>17</v>
      </c>
      <c r="O231">
        <v>98.58</v>
      </c>
      <c r="P231">
        <v>307.43</v>
      </c>
      <c r="Q231">
        <v>2</v>
      </c>
    </row>
    <row r="232" spans="1:17" x14ac:dyDescent="0.25">
      <c r="A232" t="str">
        <f t="shared" si="3"/>
        <v>0_5.5_54</v>
      </c>
      <c r="B232" s="1">
        <v>0</v>
      </c>
      <c r="C232">
        <v>1.4</v>
      </c>
      <c r="D232">
        <v>3918</v>
      </c>
      <c r="E232">
        <v>0.74</v>
      </c>
      <c r="F232">
        <v>4.03</v>
      </c>
      <c r="G232">
        <v>4.03</v>
      </c>
      <c r="H232">
        <v>5.66</v>
      </c>
      <c r="I232">
        <v>5.66</v>
      </c>
      <c r="J232">
        <v>5.5</v>
      </c>
      <c r="K232">
        <v>16000</v>
      </c>
      <c r="L232">
        <v>54</v>
      </c>
      <c r="M232">
        <v>0.16</v>
      </c>
      <c r="N232" t="s">
        <v>16</v>
      </c>
      <c r="O232">
        <v>100</v>
      </c>
      <c r="P232">
        <v>441.48</v>
      </c>
      <c r="Q232">
        <v>2</v>
      </c>
    </row>
    <row r="233" spans="1:17" x14ac:dyDescent="0.25">
      <c r="A233" t="str">
        <f t="shared" si="3"/>
        <v>1_5.5_54</v>
      </c>
      <c r="B233" s="1">
        <v>1</v>
      </c>
      <c r="C233">
        <v>1.36</v>
      </c>
      <c r="D233">
        <v>4249</v>
      </c>
      <c r="E233">
        <v>0.8</v>
      </c>
      <c r="F233">
        <v>5.6</v>
      </c>
      <c r="G233">
        <v>5.6</v>
      </c>
      <c r="H233">
        <v>7.64</v>
      </c>
      <c r="I233">
        <v>7.64</v>
      </c>
      <c r="J233">
        <v>5.5</v>
      </c>
      <c r="K233">
        <v>15916.51</v>
      </c>
      <c r="L233">
        <v>54</v>
      </c>
      <c r="M233">
        <v>2.14</v>
      </c>
      <c r="N233" t="s">
        <v>17</v>
      </c>
      <c r="O233">
        <v>98.82</v>
      </c>
      <c r="P233">
        <v>307.43</v>
      </c>
      <c r="Q233">
        <v>2</v>
      </c>
    </row>
    <row r="234" spans="1:17" x14ac:dyDescent="0.25">
      <c r="A234" t="str">
        <f t="shared" si="3"/>
        <v>0_5.6_54</v>
      </c>
      <c r="B234" s="1">
        <v>0</v>
      </c>
      <c r="C234">
        <v>1.31</v>
      </c>
      <c r="D234">
        <v>3473</v>
      </c>
      <c r="E234">
        <v>0.66</v>
      </c>
      <c r="F234">
        <v>4.5</v>
      </c>
      <c r="G234">
        <v>4.5</v>
      </c>
      <c r="H234">
        <v>5.91</v>
      </c>
      <c r="I234">
        <v>5.91</v>
      </c>
      <c r="J234">
        <v>5.6</v>
      </c>
      <c r="K234">
        <v>12570.75</v>
      </c>
      <c r="L234">
        <v>54</v>
      </c>
      <c r="M234">
        <v>0.31</v>
      </c>
      <c r="N234" t="s">
        <v>16</v>
      </c>
      <c r="O234">
        <v>100</v>
      </c>
      <c r="P234">
        <v>391.32</v>
      </c>
      <c r="Q234">
        <v>2</v>
      </c>
    </row>
    <row r="235" spans="1:17" x14ac:dyDescent="0.25">
      <c r="A235" t="str">
        <f t="shared" si="3"/>
        <v>1_5.6_54</v>
      </c>
      <c r="B235" s="1">
        <v>1</v>
      </c>
      <c r="C235">
        <v>1.32</v>
      </c>
      <c r="D235">
        <v>4015</v>
      </c>
      <c r="E235">
        <v>0.76</v>
      </c>
      <c r="F235">
        <v>5.85</v>
      </c>
      <c r="G235">
        <v>5.85</v>
      </c>
      <c r="H235">
        <v>7.7</v>
      </c>
      <c r="I235">
        <v>7.7</v>
      </c>
      <c r="J235">
        <v>5.6</v>
      </c>
      <c r="K235">
        <v>14054.58</v>
      </c>
      <c r="L235">
        <v>54</v>
      </c>
      <c r="M235">
        <v>2.1</v>
      </c>
      <c r="N235" t="s">
        <v>17</v>
      </c>
      <c r="O235">
        <v>100</v>
      </c>
      <c r="P235">
        <v>292.5</v>
      </c>
      <c r="Q235">
        <v>2</v>
      </c>
    </row>
    <row r="236" spans="1:17" x14ac:dyDescent="0.25">
      <c r="A236" t="str">
        <f t="shared" si="3"/>
        <v>0_5.7_54</v>
      </c>
      <c r="B236" s="1">
        <v>0</v>
      </c>
      <c r="C236">
        <v>1.4</v>
      </c>
      <c r="D236">
        <v>3918</v>
      </c>
      <c r="E236">
        <v>0.74</v>
      </c>
      <c r="F236">
        <v>4.03</v>
      </c>
      <c r="G236">
        <v>4.03</v>
      </c>
      <c r="H236">
        <v>5.66</v>
      </c>
      <c r="I236">
        <v>5.66</v>
      </c>
      <c r="J236">
        <v>5.7</v>
      </c>
      <c r="K236">
        <v>15997.87</v>
      </c>
      <c r="L236">
        <v>54</v>
      </c>
      <c r="M236">
        <v>0.04</v>
      </c>
      <c r="N236" t="s">
        <v>16</v>
      </c>
      <c r="O236">
        <v>100</v>
      </c>
      <c r="P236">
        <v>441.45</v>
      </c>
      <c r="Q236">
        <v>2</v>
      </c>
    </row>
    <row r="237" spans="1:17" x14ac:dyDescent="0.25">
      <c r="A237" t="str">
        <f t="shared" si="3"/>
        <v>1_5.7_54</v>
      </c>
      <c r="B237" s="1">
        <v>1</v>
      </c>
      <c r="C237">
        <v>1.37</v>
      </c>
      <c r="D237">
        <v>4256</v>
      </c>
      <c r="E237">
        <v>0.8</v>
      </c>
      <c r="F237">
        <v>5.6</v>
      </c>
      <c r="G237">
        <v>5.6</v>
      </c>
      <c r="H237">
        <v>7.65</v>
      </c>
      <c r="I237">
        <v>7.65</v>
      </c>
      <c r="J237">
        <v>5.7</v>
      </c>
      <c r="K237">
        <v>16000</v>
      </c>
      <c r="L237">
        <v>54</v>
      </c>
      <c r="M237">
        <v>1.95</v>
      </c>
      <c r="N237" t="s">
        <v>17</v>
      </c>
      <c r="O237">
        <v>98.57</v>
      </c>
      <c r="P237">
        <v>307.42</v>
      </c>
      <c r="Q237">
        <v>2</v>
      </c>
    </row>
    <row r="238" spans="1:17" x14ac:dyDescent="0.25">
      <c r="A238" t="str">
        <f t="shared" si="3"/>
        <v>0_5.8_54</v>
      </c>
      <c r="B238" s="1">
        <v>0</v>
      </c>
      <c r="C238">
        <v>1.35</v>
      </c>
      <c r="D238">
        <v>3653</v>
      </c>
      <c r="E238">
        <v>0.69</v>
      </c>
      <c r="F238">
        <v>4.3</v>
      </c>
      <c r="G238">
        <v>4.3</v>
      </c>
      <c r="H238">
        <v>5.79</v>
      </c>
      <c r="I238">
        <v>5.79</v>
      </c>
      <c r="J238">
        <v>5.8</v>
      </c>
      <c r="K238">
        <v>13905.19</v>
      </c>
      <c r="L238">
        <v>54</v>
      </c>
      <c r="M238">
        <v>0.01</v>
      </c>
      <c r="N238" t="s">
        <v>16</v>
      </c>
      <c r="O238">
        <v>100</v>
      </c>
      <c r="P238">
        <v>411.56</v>
      </c>
      <c r="Q238">
        <v>2</v>
      </c>
    </row>
    <row r="239" spans="1:17" x14ac:dyDescent="0.25">
      <c r="A239" t="str">
        <f t="shared" si="3"/>
        <v>1_5.8_54</v>
      </c>
      <c r="B239" s="1">
        <v>1</v>
      </c>
      <c r="C239">
        <v>1.33</v>
      </c>
      <c r="D239">
        <v>4107</v>
      </c>
      <c r="E239">
        <v>0.77</v>
      </c>
      <c r="F239">
        <v>5.73</v>
      </c>
      <c r="G239">
        <v>5.73</v>
      </c>
      <c r="H239">
        <v>7.64</v>
      </c>
      <c r="I239">
        <v>7.64</v>
      </c>
      <c r="J239">
        <v>5.8</v>
      </c>
      <c r="K239">
        <v>14706</v>
      </c>
      <c r="L239">
        <v>54</v>
      </c>
      <c r="M239">
        <v>1.84</v>
      </c>
      <c r="N239" t="s">
        <v>17</v>
      </c>
      <c r="O239">
        <v>100</v>
      </c>
      <c r="P239">
        <v>299.2</v>
      </c>
      <c r="Q239">
        <v>2</v>
      </c>
    </row>
    <row r="240" spans="1:17" x14ac:dyDescent="0.25">
      <c r="A240" t="str">
        <f t="shared" si="3"/>
        <v>0_5.9_54</v>
      </c>
      <c r="B240" s="1">
        <v>0</v>
      </c>
      <c r="C240">
        <v>1.4</v>
      </c>
      <c r="D240">
        <v>3918</v>
      </c>
      <c r="E240">
        <v>0.74</v>
      </c>
      <c r="F240">
        <v>4.03</v>
      </c>
      <c r="G240">
        <v>4.03</v>
      </c>
      <c r="H240">
        <v>5.66</v>
      </c>
      <c r="I240">
        <v>5.66</v>
      </c>
      <c r="J240">
        <v>5.9</v>
      </c>
      <c r="K240">
        <v>16000</v>
      </c>
      <c r="L240">
        <v>54</v>
      </c>
      <c r="M240">
        <v>0.24</v>
      </c>
      <c r="N240" t="s">
        <v>16</v>
      </c>
      <c r="O240">
        <v>100</v>
      </c>
      <c r="P240">
        <v>441.48</v>
      </c>
      <c r="Q240">
        <v>2</v>
      </c>
    </row>
    <row r="241" spans="1:17" x14ac:dyDescent="0.25">
      <c r="A241" t="str">
        <f t="shared" si="3"/>
        <v>1_5.9_54</v>
      </c>
      <c r="B241" s="1">
        <v>1</v>
      </c>
      <c r="C241">
        <v>1.35</v>
      </c>
      <c r="D241">
        <v>4219</v>
      </c>
      <c r="E241">
        <v>0.8</v>
      </c>
      <c r="F241">
        <v>5.6</v>
      </c>
      <c r="G241">
        <v>5.6</v>
      </c>
      <c r="H241">
        <v>7.56</v>
      </c>
      <c r="I241">
        <v>7.56</v>
      </c>
      <c r="J241">
        <v>5.9</v>
      </c>
      <c r="K241">
        <v>15525.87</v>
      </c>
      <c r="L241">
        <v>54</v>
      </c>
      <c r="M241">
        <v>1.66</v>
      </c>
      <c r="N241" t="s">
        <v>17</v>
      </c>
      <c r="O241">
        <v>100</v>
      </c>
      <c r="P241">
        <v>307.43</v>
      </c>
      <c r="Q241">
        <v>2</v>
      </c>
    </row>
    <row r="242" spans="1:17" x14ac:dyDescent="0.25">
      <c r="A242" t="str">
        <f t="shared" si="3"/>
        <v>0_5_58</v>
      </c>
      <c r="B242" s="1">
        <v>0</v>
      </c>
      <c r="C242">
        <v>1.35</v>
      </c>
      <c r="D242">
        <v>3735</v>
      </c>
      <c r="E242">
        <v>0.7</v>
      </c>
      <c r="F242">
        <v>3.09</v>
      </c>
      <c r="G242">
        <v>3.09</v>
      </c>
      <c r="H242">
        <v>4.1900000000000004</v>
      </c>
      <c r="I242">
        <v>4.1900000000000004</v>
      </c>
      <c r="J242">
        <v>5</v>
      </c>
      <c r="K242">
        <v>10412.280000000001</v>
      </c>
      <c r="L242">
        <v>58</v>
      </c>
      <c r="M242">
        <v>0.81</v>
      </c>
      <c r="N242" t="s">
        <v>16</v>
      </c>
      <c r="O242">
        <v>100</v>
      </c>
      <c r="P242">
        <v>420.87</v>
      </c>
      <c r="Q242">
        <v>3</v>
      </c>
    </row>
    <row r="243" spans="1:17" x14ac:dyDescent="0.25">
      <c r="A243" t="str">
        <f t="shared" si="3"/>
        <v>1_5_58</v>
      </c>
      <c r="B243" s="1">
        <v>1</v>
      </c>
      <c r="C243">
        <v>1.34</v>
      </c>
      <c r="D243">
        <v>4232</v>
      </c>
      <c r="E243">
        <v>0.8</v>
      </c>
      <c r="F243">
        <v>4.13</v>
      </c>
      <c r="G243">
        <v>4.13</v>
      </c>
      <c r="H243">
        <v>5.55</v>
      </c>
      <c r="I243">
        <v>5.55</v>
      </c>
      <c r="J243">
        <v>5</v>
      </c>
      <c r="K243">
        <v>11182.98</v>
      </c>
      <c r="L243">
        <v>58</v>
      </c>
      <c r="M243">
        <v>0.55000000000000004</v>
      </c>
      <c r="N243" t="s">
        <v>17</v>
      </c>
      <c r="O243">
        <v>100</v>
      </c>
      <c r="P243">
        <v>308.33</v>
      </c>
      <c r="Q243">
        <v>3</v>
      </c>
    </row>
    <row r="244" spans="1:17" x14ac:dyDescent="0.25">
      <c r="A244" t="str">
        <f t="shared" si="3"/>
        <v>0_5.1_58</v>
      </c>
      <c r="B244" s="1">
        <v>0</v>
      </c>
      <c r="C244">
        <v>1.57</v>
      </c>
      <c r="D244">
        <v>4630</v>
      </c>
      <c r="E244">
        <v>0.87</v>
      </c>
      <c r="F244">
        <v>2.52</v>
      </c>
      <c r="G244">
        <v>2.52</v>
      </c>
      <c r="H244">
        <v>3.96</v>
      </c>
      <c r="I244">
        <v>3.96</v>
      </c>
      <c r="J244">
        <v>5.0999999999999996</v>
      </c>
      <c r="K244">
        <v>16000</v>
      </c>
      <c r="L244">
        <v>58</v>
      </c>
      <c r="M244">
        <v>1.1399999999999999</v>
      </c>
      <c r="N244" t="s">
        <v>16</v>
      </c>
      <c r="O244">
        <v>100</v>
      </c>
      <c r="P244">
        <v>521.72</v>
      </c>
      <c r="Q244">
        <v>3</v>
      </c>
    </row>
    <row r="245" spans="1:17" x14ac:dyDescent="0.25">
      <c r="A245" t="str">
        <f t="shared" si="3"/>
        <v>1_5.1_58</v>
      </c>
      <c r="B245" s="1">
        <v>1</v>
      </c>
      <c r="C245">
        <v>1.56</v>
      </c>
      <c r="D245">
        <v>4829</v>
      </c>
      <c r="E245">
        <v>0.91</v>
      </c>
      <c r="F245">
        <v>3.9</v>
      </c>
      <c r="G245">
        <v>3.9</v>
      </c>
      <c r="H245">
        <v>6.07</v>
      </c>
      <c r="I245">
        <v>6.07</v>
      </c>
      <c r="J245">
        <v>5.0999999999999996</v>
      </c>
      <c r="K245">
        <v>15988.99</v>
      </c>
      <c r="L245">
        <v>58</v>
      </c>
      <c r="M245">
        <v>0.97</v>
      </c>
      <c r="N245" t="s">
        <v>17</v>
      </c>
      <c r="O245">
        <v>88.86</v>
      </c>
      <c r="P245">
        <v>328.36</v>
      </c>
      <c r="Q245">
        <v>3</v>
      </c>
    </row>
    <row r="246" spans="1:17" x14ac:dyDescent="0.25">
      <c r="A246" t="str">
        <f t="shared" si="3"/>
        <v>0_5.2_58</v>
      </c>
      <c r="B246" s="1">
        <v>0</v>
      </c>
      <c r="C246">
        <v>1.57</v>
      </c>
      <c r="D246">
        <v>4630</v>
      </c>
      <c r="E246">
        <v>0.87</v>
      </c>
      <c r="F246">
        <v>2.52</v>
      </c>
      <c r="G246">
        <v>2.52</v>
      </c>
      <c r="H246">
        <v>3.96</v>
      </c>
      <c r="I246">
        <v>3.96</v>
      </c>
      <c r="J246">
        <v>5.2</v>
      </c>
      <c r="K246">
        <v>16000</v>
      </c>
      <c r="L246">
        <v>58</v>
      </c>
      <c r="M246">
        <v>1.24</v>
      </c>
      <c r="N246" t="s">
        <v>16</v>
      </c>
      <c r="O246">
        <v>100</v>
      </c>
      <c r="P246">
        <v>521.72</v>
      </c>
      <c r="Q246">
        <v>3</v>
      </c>
    </row>
    <row r="247" spans="1:17" x14ac:dyDescent="0.25">
      <c r="A247" t="str">
        <f t="shared" si="3"/>
        <v>1_5.2_58</v>
      </c>
      <c r="B247" s="1">
        <v>1</v>
      </c>
      <c r="C247">
        <v>1.55</v>
      </c>
      <c r="D247">
        <v>4811</v>
      </c>
      <c r="E247">
        <v>0.91</v>
      </c>
      <c r="F247">
        <v>3.9</v>
      </c>
      <c r="G247">
        <v>3.9</v>
      </c>
      <c r="H247">
        <v>6.03</v>
      </c>
      <c r="I247">
        <v>6.03</v>
      </c>
      <c r="J247">
        <v>5.2</v>
      </c>
      <c r="K247">
        <v>15805.53</v>
      </c>
      <c r="L247">
        <v>58</v>
      </c>
      <c r="M247">
        <v>0.83</v>
      </c>
      <c r="N247" t="s">
        <v>17</v>
      </c>
      <c r="O247">
        <v>89.42</v>
      </c>
      <c r="P247">
        <v>328.36</v>
      </c>
      <c r="Q247">
        <v>3</v>
      </c>
    </row>
    <row r="248" spans="1:17" x14ac:dyDescent="0.25">
      <c r="A248" t="str">
        <f t="shared" si="3"/>
        <v>0_5.3_58</v>
      </c>
      <c r="B248" s="1">
        <v>0</v>
      </c>
      <c r="C248">
        <v>1.31</v>
      </c>
      <c r="D248">
        <v>3488</v>
      </c>
      <c r="E248">
        <v>0.66</v>
      </c>
      <c r="F248">
        <v>3.3</v>
      </c>
      <c r="G248">
        <v>3.3</v>
      </c>
      <c r="H248">
        <v>4.3099999999999996</v>
      </c>
      <c r="I248">
        <v>4.3099999999999996</v>
      </c>
      <c r="J248">
        <v>5.3</v>
      </c>
      <c r="K248">
        <v>9081.36</v>
      </c>
      <c r="L248">
        <v>58</v>
      </c>
      <c r="M248">
        <v>0.99</v>
      </c>
      <c r="N248" t="s">
        <v>16</v>
      </c>
      <c r="O248">
        <v>100</v>
      </c>
      <c r="P248">
        <v>393.05</v>
      </c>
      <c r="Q248">
        <v>3</v>
      </c>
    </row>
    <row r="249" spans="1:17" x14ac:dyDescent="0.25">
      <c r="A249" t="str">
        <f t="shared" si="3"/>
        <v>1_5.3_58</v>
      </c>
      <c r="B249" s="1">
        <v>1</v>
      </c>
      <c r="C249">
        <v>1.6</v>
      </c>
      <c r="D249">
        <v>4670</v>
      </c>
      <c r="E249">
        <v>0.88</v>
      </c>
      <c r="F249">
        <v>4.25</v>
      </c>
      <c r="G249">
        <v>4.25</v>
      </c>
      <c r="H249">
        <v>6.79</v>
      </c>
      <c r="I249">
        <v>6.79</v>
      </c>
      <c r="J249">
        <v>5.3</v>
      </c>
      <c r="K249">
        <v>16000</v>
      </c>
      <c r="L249">
        <v>58</v>
      </c>
      <c r="M249">
        <v>1.49</v>
      </c>
      <c r="N249" t="s">
        <v>17</v>
      </c>
      <c r="O249">
        <v>79.69</v>
      </c>
      <c r="P249">
        <v>298.92</v>
      </c>
      <c r="Q249">
        <v>3</v>
      </c>
    </row>
    <row r="250" spans="1:17" x14ac:dyDescent="0.25">
      <c r="A250" t="str">
        <f t="shared" si="3"/>
        <v>0_5.4_58</v>
      </c>
      <c r="B250" s="1">
        <v>0</v>
      </c>
      <c r="C250">
        <v>1.57</v>
      </c>
      <c r="D250">
        <v>4630</v>
      </c>
      <c r="E250">
        <v>0.87</v>
      </c>
      <c r="F250">
        <v>2.52</v>
      </c>
      <c r="G250">
        <v>2.52</v>
      </c>
      <c r="H250">
        <v>3.96</v>
      </c>
      <c r="I250">
        <v>3.96</v>
      </c>
      <c r="J250">
        <v>5.4</v>
      </c>
      <c r="K250">
        <v>16000</v>
      </c>
      <c r="L250">
        <v>58</v>
      </c>
      <c r="M250">
        <v>1.44</v>
      </c>
      <c r="N250" t="s">
        <v>16</v>
      </c>
      <c r="O250">
        <v>100</v>
      </c>
      <c r="P250">
        <v>521.72</v>
      </c>
      <c r="Q250">
        <v>3</v>
      </c>
    </row>
    <row r="251" spans="1:17" x14ac:dyDescent="0.25">
      <c r="A251" t="str">
        <f t="shared" si="3"/>
        <v>1_5.4_58</v>
      </c>
      <c r="B251" s="1">
        <v>1</v>
      </c>
      <c r="C251">
        <v>1.56</v>
      </c>
      <c r="D251">
        <v>4830</v>
      </c>
      <c r="E251">
        <v>0.91</v>
      </c>
      <c r="F251">
        <v>3.9</v>
      </c>
      <c r="G251">
        <v>3.9</v>
      </c>
      <c r="H251">
        <v>6.07</v>
      </c>
      <c r="I251">
        <v>6.07</v>
      </c>
      <c r="J251">
        <v>5.4</v>
      </c>
      <c r="K251">
        <v>16000</v>
      </c>
      <c r="L251">
        <v>58</v>
      </c>
      <c r="M251">
        <v>0.67</v>
      </c>
      <c r="N251" t="s">
        <v>17</v>
      </c>
      <c r="O251">
        <v>88.83</v>
      </c>
      <c r="P251">
        <v>328.36</v>
      </c>
      <c r="Q251">
        <v>3</v>
      </c>
    </row>
    <row r="252" spans="1:17" x14ac:dyDescent="0.25">
      <c r="A252" t="str">
        <f t="shared" si="3"/>
        <v>0_5.5_58</v>
      </c>
      <c r="B252" s="1">
        <v>0</v>
      </c>
      <c r="C252">
        <v>1.3</v>
      </c>
      <c r="D252">
        <v>3466</v>
      </c>
      <c r="E252">
        <v>0.65</v>
      </c>
      <c r="F252">
        <v>3.32</v>
      </c>
      <c r="G252">
        <v>3.32</v>
      </c>
      <c r="H252">
        <v>4.32</v>
      </c>
      <c r="I252">
        <v>4.32</v>
      </c>
      <c r="J252">
        <v>5.5</v>
      </c>
      <c r="K252">
        <v>8963.16</v>
      </c>
      <c r="L252">
        <v>58</v>
      </c>
      <c r="M252">
        <v>1.18</v>
      </c>
      <c r="N252" t="s">
        <v>16</v>
      </c>
      <c r="O252">
        <v>100</v>
      </c>
      <c r="P252">
        <v>390.49</v>
      </c>
      <c r="Q252">
        <v>3</v>
      </c>
    </row>
    <row r="253" spans="1:17" x14ac:dyDescent="0.25">
      <c r="A253" t="str">
        <f t="shared" si="3"/>
        <v>1_5.5_58</v>
      </c>
      <c r="B253" s="1">
        <v>1</v>
      </c>
      <c r="C253">
        <v>1.6</v>
      </c>
      <c r="D253">
        <v>4665</v>
      </c>
      <c r="E253">
        <v>0.88</v>
      </c>
      <c r="F253">
        <v>4.26</v>
      </c>
      <c r="G253">
        <v>4.26</v>
      </c>
      <c r="H253">
        <v>6.82</v>
      </c>
      <c r="I253">
        <v>6.82</v>
      </c>
      <c r="J253">
        <v>5.5</v>
      </c>
      <c r="K253">
        <v>16000</v>
      </c>
      <c r="L253">
        <v>58</v>
      </c>
      <c r="M253">
        <v>1.32</v>
      </c>
      <c r="N253" t="s">
        <v>17</v>
      </c>
      <c r="O253">
        <v>79.38</v>
      </c>
      <c r="P253">
        <v>297.95999999999998</v>
      </c>
      <c r="Q253">
        <v>3</v>
      </c>
    </row>
    <row r="254" spans="1:17" x14ac:dyDescent="0.25">
      <c r="A254" t="str">
        <f t="shared" si="3"/>
        <v>0_5.6_58</v>
      </c>
      <c r="B254" s="1">
        <v>0</v>
      </c>
      <c r="C254">
        <v>1.37</v>
      </c>
      <c r="D254">
        <v>3781</v>
      </c>
      <c r="E254">
        <v>0.71</v>
      </c>
      <c r="F254">
        <v>4.45</v>
      </c>
      <c r="G254">
        <v>4.45</v>
      </c>
      <c r="H254">
        <v>6.12</v>
      </c>
      <c r="I254">
        <v>6.12</v>
      </c>
      <c r="J254">
        <v>5.6</v>
      </c>
      <c r="K254">
        <v>16000</v>
      </c>
      <c r="L254">
        <v>58</v>
      </c>
      <c r="M254">
        <v>0.52</v>
      </c>
      <c r="N254" t="s">
        <v>16</v>
      </c>
      <c r="O254">
        <v>100</v>
      </c>
      <c r="P254">
        <v>425.98</v>
      </c>
      <c r="Q254">
        <v>2</v>
      </c>
    </row>
    <row r="255" spans="1:17" x14ac:dyDescent="0.25">
      <c r="A255" t="str">
        <f t="shared" si="3"/>
        <v>1_5.6_58</v>
      </c>
      <c r="B255" s="1">
        <v>1</v>
      </c>
      <c r="C255">
        <v>1.24</v>
      </c>
      <c r="D255">
        <v>3108</v>
      </c>
      <c r="E255">
        <v>0.59</v>
      </c>
      <c r="F255">
        <v>6.06</v>
      </c>
      <c r="G255">
        <v>6.06</v>
      </c>
      <c r="H255">
        <v>7.54</v>
      </c>
      <c r="I255">
        <v>7.54</v>
      </c>
      <c r="J255">
        <v>5.6</v>
      </c>
      <c r="K255">
        <v>7000.23</v>
      </c>
      <c r="L255">
        <v>58</v>
      </c>
      <c r="M255">
        <v>1.94</v>
      </c>
      <c r="N255" t="s">
        <v>17</v>
      </c>
      <c r="O255">
        <v>81.39</v>
      </c>
      <c r="P255">
        <v>201.22</v>
      </c>
      <c r="Q255">
        <v>3</v>
      </c>
    </row>
    <row r="256" spans="1:17" x14ac:dyDescent="0.25">
      <c r="A256" t="str">
        <f t="shared" si="3"/>
        <v>0_5.7_58</v>
      </c>
      <c r="B256" s="1">
        <v>0</v>
      </c>
      <c r="C256">
        <v>1.37</v>
      </c>
      <c r="D256">
        <v>3781</v>
      </c>
      <c r="E256">
        <v>0.71</v>
      </c>
      <c r="F256">
        <v>4.45</v>
      </c>
      <c r="G256">
        <v>4.45</v>
      </c>
      <c r="H256">
        <v>6.12</v>
      </c>
      <c r="I256">
        <v>6.12</v>
      </c>
      <c r="J256">
        <v>5.7</v>
      </c>
      <c r="K256">
        <v>16000</v>
      </c>
      <c r="L256">
        <v>58</v>
      </c>
      <c r="M256">
        <v>0.42</v>
      </c>
      <c r="N256" t="s">
        <v>16</v>
      </c>
      <c r="O256">
        <v>100</v>
      </c>
      <c r="P256">
        <v>425.98</v>
      </c>
      <c r="Q256">
        <v>2</v>
      </c>
    </row>
    <row r="257" spans="1:17" x14ac:dyDescent="0.25">
      <c r="A257" t="str">
        <f t="shared" si="3"/>
        <v>1_5.7_58</v>
      </c>
      <c r="B257" s="1">
        <v>1</v>
      </c>
      <c r="C257">
        <v>1.26</v>
      </c>
      <c r="D257">
        <v>3166</v>
      </c>
      <c r="E257">
        <v>0.6</v>
      </c>
      <c r="F257">
        <v>6.06</v>
      </c>
      <c r="G257">
        <v>6.06</v>
      </c>
      <c r="H257">
        <v>7.65</v>
      </c>
      <c r="I257">
        <v>7.65</v>
      </c>
      <c r="J257">
        <v>5.7</v>
      </c>
      <c r="K257">
        <v>7407.06</v>
      </c>
      <c r="L257">
        <v>58</v>
      </c>
      <c r="M257">
        <v>1.95</v>
      </c>
      <c r="N257" t="s">
        <v>17</v>
      </c>
      <c r="O257">
        <v>78.650000000000006</v>
      </c>
      <c r="P257">
        <v>201.22</v>
      </c>
      <c r="Q257">
        <v>3</v>
      </c>
    </row>
    <row r="258" spans="1:17" x14ac:dyDescent="0.25">
      <c r="A258" t="str">
        <f t="shared" si="3"/>
        <v>0_5.8_58</v>
      </c>
      <c r="B258" s="1">
        <v>0</v>
      </c>
      <c r="C258">
        <v>1.37</v>
      </c>
      <c r="D258">
        <v>3781</v>
      </c>
      <c r="E258">
        <v>0.71</v>
      </c>
      <c r="F258">
        <v>4.45</v>
      </c>
      <c r="G258">
        <v>4.45</v>
      </c>
      <c r="H258">
        <v>6.12</v>
      </c>
      <c r="I258">
        <v>6.12</v>
      </c>
      <c r="J258">
        <v>5.8</v>
      </c>
      <c r="K258">
        <v>16000</v>
      </c>
      <c r="L258">
        <v>58</v>
      </c>
      <c r="M258">
        <v>0.32</v>
      </c>
      <c r="N258" t="s">
        <v>16</v>
      </c>
      <c r="O258">
        <v>100</v>
      </c>
      <c r="P258">
        <v>425.98</v>
      </c>
      <c r="Q258">
        <v>2</v>
      </c>
    </row>
    <row r="259" spans="1:17" x14ac:dyDescent="0.25">
      <c r="A259" t="str">
        <f t="shared" ref="A259:A301" si="4">B259&amp;"_"&amp;J259&amp;"_"&amp;L259</f>
        <v>1_5.8_58</v>
      </c>
      <c r="B259" s="1">
        <v>1</v>
      </c>
      <c r="C259">
        <v>1.27</v>
      </c>
      <c r="D259">
        <v>3189</v>
      </c>
      <c r="E259">
        <v>0.6</v>
      </c>
      <c r="F259">
        <v>6.06</v>
      </c>
      <c r="G259">
        <v>6.06</v>
      </c>
      <c r="H259">
        <v>7.7</v>
      </c>
      <c r="I259">
        <v>7.7</v>
      </c>
      <c r="J259">
        <v>5.8</v>
      </c>
      <c r="K259">
        <v>7569.78</v>
      </c>
      <c r="L259">
        <v>58</v>
      </c>
      <c r="M259">
        <v>1.9</v>
      </c>
      <c r="N259" t="s">
        <v>17</v>
      </c>
      <c r="O259">
        <v>77.599999999999994</v>
      </c>
      <c r="P259">
        <v>201.22</v>
      </c>
      <c r="Q259">
        <v>3</v>
      </c>
    </row>
    <row r="260" spans="1:17" x14ac:dyDescent="0.25">
      <c r="A260" t="str">
        <f t="shared" si="4"/>
        <v>0_5.9_58</v>
      </c>
      <c r="B260" s="1">
        <v>0</v>
      </c>
      <c r="C260">
        <v>1.37</v>
      </c>
      <c r="D260">
        <v>3781</v>
      </c>
      <c r="E260">
        <v>0.71</v>
      </c>
      <c r="F260">
        <v>4.45</v>
      </c>
      <c r="G260">
        <v>4.45</v>
      </c>
      <c r="H260">
        <v>6.12</v>
      </c>
      <c r="I260">
        <v>6.12</v>
      </c>
      <c r="J260">
        <v>5.9</v>
      </c>
      <c r="K260">
        <v>16000</v>
      </c>
      <c r="L260">
        <v>58</v>
      </c>
      <c r="M260">
        <v>0.22</v>
      </c>
      <c r="N260" t="s">
        <v>16</v>
      </c>
      <c r="O260">
        <v>100</v>
      </c>
      <c r="P260">
        <v>425.98</v>
      </c>
      <c r="Q260">
        <v>2</v>
      </c>
    </row>
    <row r="261" spans="1:17" x14ac:dyDescent="0.25">
      <c r="A261" t="str">
        <f t="shared" si="4"/>
        <v>1_5.9_58</v>
      </c>
      <c r="B261" s="1">
        <v>1</v>
      </c>
      <c r="C261">
        <v>1.26</v>
      </c>
      <c r="D261">
        <v>3164</v>
      </c>
      <c r="E261">
        <v>0.6</v>
      </c>
      <c r="F261">
        <v>6.06</v>
      </c>
      <c r="G261">
        <v>6.06</v>
      </c>
      <c r="H261">
        <v>7.65</v>
      </c>
      <c r="I261">
        <v>7.65</v>
      </c>
      <c r="J261">
        <v>5.9</v>
      </c>
      <c r="K261">
        <v>7392.15</v>
      </c>
      <c r="L261">
        <v>58</v>
      </c>
      <c r="M261">
        <v>1.75</v>
      </c>
      <c r="N261" t="s">
        <v>17</v>
      </c>
      <c r="O261">
        <v>78.75</v>
      </c>
      <c r="P261">
        <v>201.22</v>
      </c>
      <c r="Q261">
        <v>3</v>
      </c>
    </row>
    <row r="262" spans="1:17" x14ac:dyDescent="0.25">
      <c r="A262" t="str">
        <f t="shared" si="4"/>
        <v>0_5_62</v>
      </c>
      <c r="B262" s="1">
        <v>0</v>
      </c>
      <c r="C262">
        <v>1.53</v>
      </c>
      <c r="D262">
        <v>4478</v>
      </c>
      <c r="E262">
        <v>0.84</v>
      </c>
      <c r="F262">
        <v>2.78</v>
      </c>
      <c r="G262">
        <v>2.78</v>
      </c>
      <c r="H262">
        <v>4.24</v>
      </c>
      <c r="I262">
        <v>4.24</v>
      </c>
      <c r="J262">
        <v>5</v>
      </c>
      <c r="K262">
        <v>16000</v>
      </c>
      <c r="L262">
        <v>62</v>
      </c>
      <c r="M262">
        <v>0.76</v>
      </c>
      <c r="N262" t="s">
        <v>16</v>
      </c>
      <c r="O262">
        <v>100</v>
      </c>
      <c r="P262">
        <v>504.61</v>
      </c>
      <c r="Q262">
        <v>3</v>
      </c>
    </row>
    <row r="263" spans="1:17" x14ac:dyDescent="0.25">
      <c r="A263" t="str">
        <f t="shared" si="4"/>
        <v>1_5_62</v>
      </c>
      <c r="B263" s="1">
        <v>1</v>
      </c>
      <c r="C263">
        <v>1.33</v>
      </c>
      <c r="D263">
        <v>3688</v>
      </c>
      <c r="E263">
        <v>0.7</v>
      </c>
      <c r="F263">
        <v>4.18</v>
      </c>
      <c r="G263">
        <v>4.18</v>
      </c>
      <c r="H263">
        <v>5.55</v>
      </c>
      <c r="I263">
        <v>5.55</v>
      </c>
      <c r="J263">
        <v>5</v>
      </c>
      <c r="K263">
        <v>7728.9</v>
      </c>
      <c r="L263">
        <v>62</v>
      </c>
      <c r="M263">
        <v>0.55000000000000004</v>
      </c>
      <c r="N263" t="s">
        <v>17</v>
      </c>
      <c r="O263">
        <v>84.48</v>
      </c>
      <c r="P263">
        <v>243.74</v>
      </c>
      <c r="Q263">
        <v>4</v>
      </c>
    </row>
    <row r="264" spans="1:17" x14ac:dyDescent="0.25">
      <c r="A264" t="str">
        <f t="shared" si="4"/>
        <v>0_5.1_62</v>
      </c>
      <c r="B264" s="1">
        <v>0</v>
      </c>
      <c r="C264">
        <v>1.48</v>
      </c>
      <c r="D264">
        <v>4277</v>
      </c>
      <c r="E264">
        <v>0.81</v>
      </c>
      <c r="F264">
        <v>2.9</v>
      </c>
      <c r="G264">
        <v>2.9</v>
      </c>
      <c r="H264">
        <v>4.28</v>
      </c>
      <c r="I264">
        <v>4.28</v>
      </c>
      <c r="J264">
        <v>5.0999999999999996</v>
      </c>
      <c r="K264">
        <v>14596.88</v>
      </c>
      <c r="L264">
        <v>62</v>
      </c>
      <c r="M264">
        <v>0.82</v>
      </c>
      <c r="N264" t="s">
        <v>16</v>
      </c>
      <c r="O264">
        <v>100</v>
      </c>
      <c r="P264">
        <v>481.97</v>
      </c>
      <c r="Q264">
        <v>3</v>
      </c>
    </row>
    <row r="265" spans="1:17" x14ac:dyDescent="0.25">
      <c r="A265" t="str">
        <f t="shared" si="4"/>
        <v>1_5.1_62</v>
      </c>
      <c r="B265" s="1">
        <v>1</v>
      </c>
      <c r="C265">
        <v>1.52</v>
      </c>
      <c r="D265">
        <v>4694</v>
      </c>
      <c r="E265">
        <v>0.89</v>
      </c>
      <c r="F265">
        <v>4.22</v>
      </c>
      <c r="G265">
        <v>4.22</v>
      </c>
      <c r="H265">
        <v>6.4</v>
      </c>
      <c r="I265">
        <v>6.4</v>
      </c>
      <c r="J265">
        <v>5.0999999999999996</v>
      </c>
      <c r="K265">
        <v>16000</v>
      </c>
      <c r="L265">
        <v>62</v>
      </c>
      <c r="M265">
        <v>1.3</v>
      </c>
      <c r="N265" t="s">
        <v>17</v>
      </c>
      <c r="O265">
        <v>90.06</v>
      </c>
      <c r="P265">
        <v>321.63</v>
      </c>
      <c r="Q265">
        <v>3</v>
      </c>
    </row>
    <row r="266" spans="1:17" x14ac:dyDescent="0.25">
      <c r="A266" t="str">
        <f t="shared" si="4"/>
        <v>0_5.2_62</v>
      </c>
      <c r="B266" s="1">
        <v>0</v>
      </c>
      <c r="C266">
        <v>1.53</v>
      </c>
      <c r="D266">
        <v>4478</v>
      </c>
      <c r="E266">
        <v>0.84</v>
      </c>
      <c r="F266">
        <v>2.78</v>
      </c>
      <c r="G266">
        <v>2.78</v>
      </c>
      <c r="H266">
        <v>4.24</v>
      </c>
      <c r="I266">
        <v>4.24</v>
      </c>
      <c r="J266">
        <v>5.2</v>
      </c>
      <c r="K266">
        <v>16000</v>
      </c>
      <c r="L266">
        <v>62</v>
      </c>
      <c r="M266">
        <v>0.96</v>
      </c>
      <c r="N266" t="s">
        <v>16</v>
      </c>
      <c r="O266">
        <v>100</v>
      </c>
      <c r="P266">
        <v>504.61</v>
      </c>
      <c r="Q266">
        <v>3</v>
      </c>
    </row>
    <row r="267" spans="1:17" x14ac:dyDescent="0.25">
      <c r="A267" t="str">
        <f t="shared" si="4"/>
        <v>1_5.2_62</v>
      </c>
      <c r="B267" s="1">
        <v>1</v>
      </c>
      <c r="C267">
        <v>1.45</v>
      </c>
      <c r="D267">
        <v>4594</v>
      </c>
      <c r="E267">
        <v>0.87</v>
      </c>
      <c r="F267">
        <v>4.18</v>
      </c>
      <c r="G267">
        <v>4.18</v>
      </c>
      <c r="H267">
        <v>6.06</v>
      </c>
      <c r="I267">
        <v>6.06</v>
      </c>
      <c r="J267">
        <v>5.2</v>
      </c>
      <c r="K267">
        <v>14701.06</v>
      </c>
      <c r="L267">
        <v>62</v>
      </c>
      <c r="M267">
        <v>0.86</v>
      </c>
      <c r="N267" t="s">
        <v>17</v>
      </c>
      <c r="O267">
        <v>95.15</v>
      </c>
      <c r="P267">
        <v>324.99</v>
      </c>
      <c r="Q267">
        <v>3</v>
      </c>
    </row>
    <row r="268" spans="1:17" x14ac:dyDescent="0.25">
      <c r="A268" t="str">
        <f t="shared" si="4"/>
        <v>0_5.3_62</v>
      </c>
      <c r="B268" s="1">
        <v>0</v>
      </c>
      <c r="C268">
        <v>1.32</v>
      </c>
      <c r="D268">
        <v>3563</v>
      </c>
      <c r="E268">
        <v>0.67</v>
      </c>
      <c r="F268">
        <v>3.44</v>
      </c>
      <c r="G268">
        <v>3.44</v>
      </c>
      <c r="H268">
        <v>4.55</v>
      </c>
      <c r="I268">
        <v>4.55</v>
      </c>
      <c r="J268">
        <v>5.3</v>
      </c>
      <c r="K268">
        <v>10129.950000000001</v>
      </c>
      <c r="L268">
        <v>62</v>
      </c>
      <c r="M268">
        <v>0.75</v>
      </c>
      <c r="N268" t="s">
        <v>16</v>
      </c>
      <c r="O268">
        <v>100</v>
      </c>
      <c r="P268">
        <v>401.51</v>
      </c>
      <c r="Q268">
        <v>3</v>
      </c>
    </row>
    <row r="269" spans="1:17" x14ac:dyDescent="0.25">
      <c r="A269" t="str">
        <f t="shared" si="4"/>
        <v>1_5.3_62</v>
      </c>
      <c r="B269" s="1">
        <v>1</v>
      </c>
      <c r="C269">
        <v>1.33</v>
      </c>
      <c r="D269">
        <v>4129</v>
      </c>
      <c r="E269">
        <v>0.78</v>
      </c>
      <c r="F269">
        <v>4.49</v>
      </c>
      <c r="G269">
        <v>4.49</v>
      </c>
      <c r="H269">
        <v>5.96</v>
      </c>
      <c r="I269">
        <v>5.96</v>
      </c>
      <c r="J269">
        <v>5.3</v>
      </c>
      <c r="K269">
        <v>11382.16</v>
      </c>
      <c r="L269">
        <v>62</v>
      </c>
      <c r="M269">
        <v>0.66</v>
      </c>
      <c r="N269" t="s">
        <v>17</v>
      </c>
      <c r="O269">
        <v>100</v>
      </c>
      <c r="P269">
        <v>300.87</v>
      </c>
      <c r="Q269">
        <v>3</v>
      </c>
    </row>
    <row r="270" spans="1:17" x14ac:dyDescent="0.25">
      <c r="A270" t="str">
        <f t="shared" si="4"/>
        <v>0_5.4_62</v>
      </c>
      <c r="B270" s="1">
        <v>0</v>
      </c>
      <c r="C270">
        <v>1.28</v>
      </c>
      <c r="D270">
        <v>3324</v>
      </c>
      <c r="E270">
        <v>0.63</v>
      </c>
      <c r="F270">
        <v>3.67</v>
      </c>
      <c r="G270">
        <v>3.67</v>
      </c>
      <c r="H270">
        <v>4.6900000000000004</v>
      </c>
      <c r="I270">
        <v>4.6900000000000004</v>
      </c>
      <c r="J270">
        <v>5.4</v>
      </c>
      <c r="K270">
        <v>8816.73</v>
      </c>
      <c r="L270">
        <v>62</v>
      </c>
      <c r="M270">
        <v>0.71</v>
      </c>
      <c r="N270" t="s">
        <v>16</v>
      </c>
      <c r="O270">
        <v>100</v>
      </c>
      <c r="P270">
        <v>374.58</v>
      </c>
      <c r="Q270">
        <v>3</v>
      </c>
    </row>
    <row r="271" spans="1:17" x14ac:dyDescent="0.25">
      <c r="A271" t="str">
        <f t="shared" si="4"/>
        <v>1_5.4_62</v>
      </c>
      <c r="B271" s="1">
        <v>1</v>
      </c>
      <c r="C271">
        <v>1.56</v>
      </c>
      <c r="D271">
        <v>4525</v>
      </c>
      <c r="E271">
        <v>0.85</v>
      </c>
      <c r="F271">
        <v>4.63</v>
      </c>
      <c r="G271">
        <v>4.63</v>
      </c>
      <c r="H271">
        <v>7.2</v>
      </c>
      <c r="I271">
        <v>7.2</v>
      </c>
      <c r="J271">
        <v>5.4</v>
      </c>
      <c r="K271">
        <v>16000</v>
      </c>
      <c r="L271">
        <v>62</v>
      </c>
      <c r="M271">
        <v>1.8</v>
      </c>
      <c r="N271" t="s">
        <v>17</v>
      </c>
      <c r="O271">
        <v>80.22</v>
      </c>
      <c r="P271">
        <v>290.69</v>
      </c>
      <c r="Q271">
        <v>3</v>
      </c>
    </row>
    <row r="272" spans="1:17" x14ac:dyDescent="0.25">
      <c r="A272" t="str">
        <f t="shared" si="4"/>
        <v>0_5.5_62</v>
      </c>
      <c r="B272" s="1">
        <v>0</v>
      </c>
      <c r="C272">
        <v>1.53</v>
      </c>
      <c r="D272">
        <v>4478</v>
      </c>
      <c r="E272">
        <v>0.84</v>
      </c>
      <c r="F272">
        <v>2.78</v>
      </c>
      <c r="G272">
        <v>2.78</v>
      </c>
      <c r="H272">
        <v>4.24</v>
      </c>
      <c r="I272">
        <v>4.24</v>
      </c>
      <c r="J272">
        <v>5.5</v>
      </c>
      <c r="K272">
        <v>16000</v>
      </c>
      <c r="L272">
        <v>62</v>
      </c>
      <c r="M272">
        <v>1.26</v>
      </c>
      <c r="N272" t="s">
        <v>16</v>
      </c>
      <c r="O272">
        <v>100</v>
      </c>
      <c r="P272">
        <v>504.61</v>
      </c>
      <c r="Q272">
        <v>3</v>
      </c>
    </row>
    <row r="273" spans="1:17" x14ac:dyDescent="0.25">
      <c r="A273" t="str">
        <f t="shared" si="4"/>
        <v>1_5.5_62</v>
      </c>
      <c r="B273" s="1">
        <v>1</v>
      </c>
      <c r="C273">
        <v>1.51</v>
      </c>
      <c r="D273">
        <v>4712</v>
      </c>
      <c r="E273">
        <v>0.89</v>
      </c>
      <c r="F273">
        <v>4.18</v>
      </c>
      <c r="G273">
        <v>4.18</v>
      </c>
      <c r="H273">
        <v>6.32</v>
      </c>
      <c r="I273">
        <v>6.32</v>
      </c>
      <c r="J273">
        <v>5.5</v>
      </c>
      <c r="K273">
        <v>16000</v>
      </c>
      <c r="L273">
        <v>62</v>
      </c>
      <c r="M273">
        <v>0.82</v>
      </c>
      <c r="N273" t="s">
        <v>17</v>
      </c>
      <c r="O273">
        <v>91.07</v>
      </c>
      <c r="P273">
        <v>324.99</v>
      </c>
      <c r="Q273">
        <v>3</v>
      </c>
    </row>
    <row r="274" spans="1:17" x14ac:dyDescent="0.25">
      <c r="A274" t="str">
        <f t="shared" si="4"/>
        <v>0_5.6_62</v>
      </c>
      <c r="B274" s="1">
        <v>0</v>
      </c>
      <c r="C274">
        <v>1.53</v>
      </c>
      <c r="D274">
        <v>4478</v>
      </c>
      <c r="E274">
        <v>0.84</v>
      </c>
      <c r="F274">
        <v>2.78</v>
      </c>
      <c r="G274">
        <v>2.78</v>
      </c>
      <c r="H274">
        <v>4.24</v>
      </c>
      <c r="I274">
        <v>4.24</v>
      </c>
      <c r="J274">
        <v>5.6</v>
      </c>
      <c r="K274">
        <v>16000</v>
      </c>
      <c r="L274">
        <v>62</v>
      </c>
      <c r="M274">
        <v>1.36</v>
      </c>
      <c r="N274" t="s">
        <v>16</v>
      </c>
      <c r="O274">
        <v>100</v>
      </c>
      <c r="P274">
        <v>504.61</v>
      </c>
      <c r="Q274">
        <v>3</v>
      </c>
    </row>
    <row r="275" spans="1:17" x14ac:dyDescent="0.25">
      <c r="A275" t="str">
        <f t="shared" si="4"/>
        <v>1_5.6_62</v>
      </c>
      <c r="B275" s="1">
        <v>1</v>
      </c>
      <c r="C275">
        <v>1.51</v>
      </c>
      <c r="D275">
        <v>4705</v>
      </c>
      <c r="E275">
        <v>0.89</v>
      </c>
      <c r="F275">
        <v>4.18</v>
      </c>
      <c r="G275">
        <v>4.18</v>
      </c>
      <c r="H275">
        <v>6.3</v>
      </c>
      <c r="I275">
        <v>6.3</v>
      </c>
      <c r="J275">
        <v>5.6</v>
      </c>
      <c r="K275">
        <v>15919.34</v>
      </c>
      <c r="L275">
        <v>62</v>
      </c>
      <c r="M275">
        <v>0.7</v>
      </c>
      <c r="N275" t="s">
        <v>17</v>
      </c>
      <c r="O275">
        <v>91.31</v>
      </c>
      <c r="P275">
        <v>324.99</v>
      </c>
      <c r="Q275">
        <v>3</v>
      </c>
    </row>
    <row r="276" spans="1:17" x14ac:dyDescent="0.25">
      <c r="A276" t="str">
        <f t="shared" si="4"/>
        <v>0_5.7_62</v>
      </c>
      <c r="B276" s="1">
        <v>0</v>
      </c>
      <c r="C276">
        <v>1.29</v>
      </c>
      <c r="D276">
        <v>3393</v>
      </c>
      <c r="E276">
        <v>0.64</v>
      </c>
      <c r="F276">
        <v>3.6</v>
      </c>
      <c r="G276">
        <v>3.6</v>
      </c>
      <c r="H276">
        <v>4.6500000000000004</v>
      </c>
      <c r="I276">
        <v>4.6500000000000004</v>
      </c>
      <c r="J276">
        <v>5.7</v>
      </c>
      <c r="K276">
        <v>9182.7199999999993</v>
      </c>
      <c r="L276">
        <v>62</v>
      </c>
      <c r="M276">
        <v>1.05</v>
      </c>
      <c r="N276" t="s">
        <v>16</v>
      </c>
      <c r="O276">
        <v>100</v>
      </c>
      <c r="P276">
        <v>382.28</v>
      </c>
      <c r="Q276">
        <v>3</v>
      </c>
    </row>
    <row r="277" spans="1:17" x14ac:dyDescent="0.25">
      <c r="A277" t="str">
        <f t="shared" si="4"/>
        <v>1_5.7_62</v>
      </c>
      <c r="B277" s="1">
        <v>1</v>
      </c>
      <c r="C277">
        <v>1.55</v>
      </c>
      <c r="D277">
        <v>4542</v>
      </c>
      <c r="E277">
        <v>0.86</v>
      </c>
      <c r="F277">
        <v>4.59</v>
      </c>
      <c r="G277">
        <v>4.59</v>
      </c>
      <c r="H277">
        <v>7.12</v>
      </c>
      <c r="I277">
        <v>7.12</v>
      </c>
      <c r="J277">
        <v>5.7</v>
      </c>
      <c r="K277">
        <v>16000</v>
      </c>
      <c r="L277">
        <v>62</v>
      </c>
      <c r="M277">
        <v>1.42</v>
      </c>
      <c r="N277" t="s">
        <v>17</v>
      </c>
      <c r="O277">
        <v>81.239999999999995</v>
      </c>
      <c r="P277">
        <v>293.76</v>
      </c>
      <c r="Q277">
        <v>3</v>
      </c>
    </row>
    <row r="278" spans="1:17" x14ac:dyDescent="0.25">
      <c r="A278" t="str">
        <f t="shared" si="4"/>
        <v>0_5.8_62</v>
      </c>
      <c r="B278" s="1">
        <v>0</v>
      </c>
      <c r="C278">
        <v>1.53</v>
      </c>
      <c r="D278">
        <v>4478</v>
      </c>
      <c r="E278">
        <v>0.84</v>
      </c>
      <c r="F278">
        <v>2.78</v>
      </c>
      <c r="G278">
        <v>2.78</v>
      </c>
      <c r="H278">
        <v>4.24</v>
      </c>
      <c r="I278">
        <v>4.24</v>
      </c>
      <c r="J278">
        <v>5.8</v>
      </c>
      <c r="K278">
        <v>16000</v>
      </c>
      <c r="L278">
        <v>62</v>
      </c>
      <c r="M278">
        <v>1.56</v>
      </c>
      <c r="N278" t="s">
        <v>16</v>
      </c>
      <c r="O278">
        <v>100</v>
      </c>
      <c r="P278">
        <v>504.61</v>
      </c>
      <c r="Q278">
        <v>3</v>
      </c>
    </row>
    <row r="279" spans="1:17" x14ac:dyDescent="0.25">
      <c r="A279" t="str">
        <f t="shared" si="4"/>
        <v>1_5.8_62</v>
      </c>
      <c r="B279" s="1">
        <v>1</v>
      </c>
      <c r="C279">
        <v>1.51</v>
      </c>
      <c r="D279">
        <v>4712</v>
      </c>
      <c r="E279">
        <v>0.89</v>
      </c>
      <c r="F279">
        <v>4.18</v>
      </c>
      <c r="G279">
        <v>4.18</v>
      </c>
      <c r="H279">
        <v>6.32</v>
      </c>
      <c r="I279">
        <v>6.32</v>
      </c>
      <c r="J279">
        <v>5.8</v>
      </c>
      <c r="K279">
        <v>16000</v>
      </c>
      <c r="L279">
        <v>62</v>
      </c>
      <c r="M279">
        <v>0.52</v>
      </c>
      <c r="N279" t="s">
        <v>17</v>
      </c>
      <c r="O279">
        <v>91.07</v>
      </c>
      <c r="P279">
        <v>324.99</v>
      </c>
      <c r="Q279">
        <v>3</v>
      </c>
    </row>
    <row r="280" spans="1:17" x14ac:dyDescent="0.25">
      <c r="A280" t="str">
        <f t="shared" si="4"/>
        <v>0_5.9_62</v>
      </c>
      <c r="B280" s="1">
        <v>0</v>
      </c>
      <c r="C280">
        <v>1.53</v>
      </c>
      <c r="D280">
        <v>4478</v>
      </c>
      <c r="E280">
        <v>0.84</v>
      </c>
      <c r="F280">
        <v>2.78</v>
      </c>
      <c r="G280">
        <v>2.78</v>
      </c>
      <c r="H280">
        <v>4.24</v>
      </c>
      <c r="I280">
        <v>4.24</v>
      </c>
      <c r="J280">
        <v>5.9</v>
      </c>
      <c r="K280">
        <v>16000</v>
      </c>
      <c r="L280">
        <v>62</v>
      </c>
      <c r="M280">
        <v>1.66</v>
      </c>
      <c r="N280" t="s">
        <v>16</v>
      </c>
      <c r="O280">
        <v>100</v>
      </c>
      <c r="P280">
        <v>504.61</v>
      </c>
      <c r="Q280">
        <v>3</v>
      </c>
    </row>
    <row r="281" spans="1:17" x14ac:dyDescent="0.25">
      <c r="A281" t="str">
        <f t="shared" si="4"/>
        <v>1_5.9_62</v>
      </c>
      <c r="B281" s="1">
        <v>1</v>
      </c>
      <c r="C281">
        <v>1.5</v>
      </c>
      <c r="D281">
        <v>4698</v>
      </c>
      <c r="E281">
        <v>0.89</v>
      </c>
      <c r="F281">
        <v>4.18</v>
      </c>
      <c r="G281">
        <v>4.18</v>
      </c>
      <c r="H281">
        <v>6.29</v>
      </c>
      <c r="I281">
        <v>6.29</v>
      </c>
      <c r="J281">
        <v>5.9</v>
      </c>
      <c r="K281">
        <v>15840.26</v>
      </c>
      <c r="L281">
        <v>62</v>
      </c>
      <c r="M281">
        <v>0.39</v>
      </c>
      <c r="N281" t="s">
        <v>17</v>
      </c>
      <c r="O281">
        <v>91.55</v>
      </c>
      <c r="P281">
        <v>324.99</v>
      </c>
      <c r="Q281">
        <v>3</v>
      </c>
    </row>
    <row r="282" spans="1:17" x14ac:dyDescent="0.25">
      <c r="A282" t="str">
        <f t="shared" si="4"/>
        <v>0_5_66</v>
      </c>
      <c r="B282" s="1">
        <v>0</v>
      </c>
      <c r="C282">
        <v>1.47</v>
      </c>
      <c r="D282">
        <v>4222</v>
      </c>
      <c r="E282">
        <v>0.8</v>
      </c>
      <c r="F282">
        <v>3.11</v>
      </c>
      <c r="G282">
        <v>3.11</v>
      </c>
      <c r="H282">
        <v>4.5599999999999996</v>
      </c>
      <c r="I282">
        <v>4.5599999999999996</v>
      </c>
      <c r="J282">
        <v>5</v>
      </c>
      <c r="K282">
        <v>15140.99</v>
      </c>
      <c r="L282">
        <v>66</v>
      </c>
      <c r="M282">
        <v>0.44</v>
      </c>
      <c r="N282" t="s">
        <v>16</v>
      </c>
      <c r="O282">
        <v>100</v>
      </c>
      <c r="P282">
        <v>475.77</v>
      </c>
      <c r="Q282">
        <v>3</v>
      </c>
    </row>
    <row r="283" spans="1:17" x14ac:dyDescent="0.25">
      <c r="A283" t="str">
        <f t="shared" si="4"/>
        <v>1_5_66</v>
      </c>
      <c r="B283" s="1">
        <v>1</v>
      </c>
      <c r="C283">
        <v>1.47</v>
      </c>
      <c r="D283">
        <v>4591</v>
      </c>
      <c r="E283">
        <v>0.87</v>
      </c>
      <c r="F283">
        <v>4.5</v>
      </c>
      <c r="G283">
        <v>4.5</v>
      </c>
      <c r="H283">
        <v>6.64</v>
      </c>
      <c r="I283">
        <v>6.64</v>
      </c>
      <c r="J283">
        <v>5</v>
      </c>
      <c r="K283">
        <v>16000</v>
      </c>
      <c r="L283">
        <v>66</v>
      </c>
      <c r="M283">
        <v>1.64</v>
      </c>
      <c r="N283" t="s">
        <v>17</v>
      </c>
      <c r="O283">
        <v>92.35</v>
      </c>
      <c r="P283">
        <v>319.2</v>
      </c>
      <c r="Q283">
        <v>3</v>
      </c>
    </row>
    <row r="284" spans="1:17" x14ac:dyDescent="0.25">
      <c r="A284" t="str">
        <f t="shared" si="4"/>
        <v>0_5.1_66</v>
      </c>
      <c r="B284" s="1">
        <v>0</v>
      </c>
      <c r="C284">
        <v>1.28</v>
      </c>
      <c r="D284">
        <v>3352</v>
      </c>
      <c r="E284">
        <v>0.63</v>
      </c>
      <c r="F284">
        <v>3.86</v>
      </c>
      <c r="G284">
        <v>3.86</v>
      </c>
      <c r="H284">
        <v>4.95</v>
      </c>
      <c r="I284">
        <v>4.95</v>
      </c>
      <c r="J284">
        <v>5.0999999999999996</v>
      </c>
      <c r="K284">
        <v>9542.98</v>
      </c>
      <c r="L284">
        <v>66</v>
      </c>
      <c r="M284">
        <v>0.15</v>
      </c>
      <c r="N284" t="s">
        <v>16</v>
      </c>
      <c r="O284">
        <v>100</v>
      </c>
      <c r="P284">
        <v>377.71</v>
      </c>
      <c r="Q284">
        <v>3</v>
      </c>
    </row>
    <row r="285" spans="1:17" x14ac:dyDescent="0.25">
      <c r="A285" t="str">
        <f t="shared" si="4"/>
        <v>1_5.1_66</v>
      </c>
      <c r="B285" s="1">
        <v>1</v>
      </c>
      <c r="C285">
        <v>1.31</v>
      </c>
      <c r="D285">
        <v>3994</v>
      </c>
      <c r="E285">
        <v>0.75</v>
      </c>
      <c r="F285">
        <v>4.8899999999999997</v>
      </c>
      <c r="G285">
        <v>4.8899999999999997</v>
      </c>
      <c r="H285">
        <v>6.4</v>
      </c>
      <c r="I285">
        <v>6.4</v>
      </c>
      <c r="J285">
        <v>5.0999999999999996</v>
      </c>
      <c r="K285">
        <v>11332.7</v>
      </c>
      <c r="L285">
        <v>66</v>
      </c>
      <c r="M285">
        <v>1.3</v>
      </c>
      <c r="N285" t="s">
        <v>17</v>
      </c>
      <c r="O285">
        <v>100</v>
      </c>
      <c r="P285">
        <v>290.97000000000003</v>
      </c>
      <c r="Q285">
        <v>3</v>
      </c>
    </row>
    <row r="286" spans="1:17" x14ac:dyDescent="0.25">
      <c r="A286" t="str">
        <f t="shared" si="4"/>
        <v>0_5.2_66</v>
      </c>
      <c r="B286" s="1">
        <v>0</v>
      </c>
      <c r="C286">
        <v>1.31</v>
      </c>
      <c r="D286">
        <v>3469</v>
      </c>
      <c r="E286">
        <v>0.65</v>
      </c>
      <c r="F286">
        <v>3.74</v>
      </c>
      <c r="G286">
        <v>3.74</v>
      </c>
      <c r="H286">
        <v>4.88</v>
      </c>
      <c r="I286">
        <v>4.88</v>
      </c>
      <c r="J286">
        <v>5.2</v>
      </c>
      <c r="K286">
        <v>10222.64</v>
      </c>
      <c r="L286">
        <v>66</v>
      </c>
      <c r="M286">
        <v>0.32</v>
      </c>
      <c r="N286" t="s">
        <v>16</v>
      </c>
      <c r="O286">
        <v>100</v>
      </c>
      <c r="P286">
        <v>390.93</v>
      </c>
      <c r="Q286">
        <v>3</v>
      </c>
    </row>
    <row r="287" spans="1:17" x14ac:dyDescent="0.25">
      <c r="A287" t="str">
        <f t="shared" si="4"/>
        <v>1_5.2_66</v>
      </c>
      <c r="B287" s="1">
        <v>1</v>
      </c>
      <c r="C287">
        <v>1.32</v>
      </c>
      <c r="D287">
        <v>4063</v>
      </c>
      <c r="E287">
        <v>0.77</v>
      </c>
      <c r="F287">
        <v>4.82</v>
      </c>
      <c r="G287">
        <v>4.82</v>
      </c>
      <c r="H287">
        <v>6.36</v>
      </c>
      <c r="I287">
        <v>6.36</v>
      </c>
      <c r="J287">
        <v>5.2</v>
      </c>
      <c r="K287">
        <v>11730.48</v>
      </c>
      <c r="L287">
        <v>66</v>
      </c>
      <c r="M287">
        <v>1.1599999999999999</v>
      </c>
      <c r="N287" t="s">
        <v>17</v>
      </c>
      <c r="O287">
        <v>100</v>
      </c>
      <c r="P287">
        <v>296.04000000000002</v>
      </c>
      <c r="Q287">
        <v>3</v>
      </c>
    </row>
    <row r="288" spans="1:17" x14ac:dyDescent="0.25">
      <c r="A288" t="str">
        <f t="shared" si="4"/>
        <v>0_5.3_66</v>
      </c>
      <c r="B288" s="1">
        <v>0</v>
      </c>
      <c r="C288">
        <v>1.29</v>
      </c>
      <c r="D288">
        <v>3397</v>
      </c>
      <c r="E288">
        <v>0.64</v>
      </c>
      <c r="F288">
        <v>3.81</v>
      </c>
      <c r="G288">
        <v>3.81</v>
      </c>
      <c r="H288">
        <v>4.92</v>
      </c>
      <c r="I288">
        <v>4.92</v>
      </c>
      <c r="J288">
        <v>5.3</v>
      </c>
      <c r="K288">
        <v>9797.9699999999993</v>
      </c>
      <c r="L288">
        <v>66</v>
      </c>
      <c r="M288">
        <v>0.38</v>
      </c>
      <c r="N288" t="s">
        <v>16</v>
      </c>
      <c r="O288">
        <v>100</v>
      </c>
      <c r="P288">
        <v>382.72</v>
      </c>
      <c r="Q288">
        <v>3</v>
      </c>
    </row>
    <row r="289" spans="1:17" x14ac:dyDescent="0.25">
      <c r="A289" t="str">
        <f t="shared" si="4"/>
        <v>1_5.3_66</v>
      </c>
      <c r="B289" s="1">
        <v>1</v>
      </c>
      <c r="C289">
        <v>1.31</v>
      </c>
      <c r="D289">
        <v>4021</v>
      </c>
      <c r="E289">
        <v>0.76</v>
      </c>
      <c r="F289">
        <v>4.8600000000000003</v>
      </c>
      <c r="G289">
        <v>4.8600000000000003</v>
      </c>
      <c r="H289">
        <v>6.38</v>
      </c>
      <c r="I289">
        <v>6.38</v>
      </c>
      <c r="J289">
        <v>5.3</v>
      </c>
      <c r="K289">
        <v>11486.44</v>
      </c>
      <c r="L289">
        <v>66</v>
      </c>
      <c r="M289">
        <v>1.08</v>
      </c>
      <c r="N289" t="s">
        <v>17</v>
      </c>
      <c r="O289">
        <v>100</v>
      </c>
      <c r="P289">
        <v>292.94</v>
      </c>
      <c r="Q289">
        <v>3</v>
      </c>
    </row>
    <row r="290" spans="1:17" x14ac:dyDescent="0.25">
      <c r="A290" t="str">
        <f t="shared" si="4"/>
        <v>0_5.4_66</v>
      </c>
      <c r="B290" s="1">
        <v>0</v>
      </c>
      <c r="C290">
        <v>1.3</v>
      </c>
      <c r="D290">
        <v>3458</v>
      </c>
      <c r="E290">
        <v>0.65</v>
      </c>
      <c r="F290">
        <v>3.75</v>
      </c>
      <c r="G290">
        <v>3.75</v>
      </c>
      <c r="H290">
        <v>4.8899999999999997</v>
      </c>
      <c r="I290">
        <v>4.8899999999999997</v>
      </c>
      <c r="J290">
        <v>5.4</v>
      </c>
      <c r="K290">
        <v>10158.1</v>
      </c>
      <c r="L290">
        <v>66</v>
      </c>
      <c r="M290">
        <v>0.51</v>
      </c>
      <c r="N290" t="s">
        <v>16</v>
      </c>
      <c r="O290">
        <v>100</v>
      </c>
      <c r="P290">
        <v>389.69</v>
      </c>
      <c r="Q290">
        <v>3</v>
      </c>
    </row>
    <row r="291" spans="1:17" x14ac:dyDescent="0.25">
      <c r="A291" t="str">
        <f t="shared" si="4"/>
        <v>1_5.4_66</v>
      </c>
      <c r="B291" s="1">
        <v>1</v>
      </c>
      <c r="C291">
        <v>1.32</v>
      </c>
      <c r="D291">
        <v>4057</v>
      </c>
      <c r="E291">
        <v>0.77</v>
      </c>
      <c r="F291">
        <v>4.83</v>
      </c>
      <c r="G291">
        <v>4.83</v>
      </c>
      <c r="H291">
        <v>6.36</v>
      </c>
      <c r="I291">
        <v>6.36</v>
      </c>
      <c r="J291">
        <v>5.4</v>
      </c>
      <c r="K291">
        <v>11694.34</v>
      </c>
      <c r="L291">
        <v>66</v>
      </c>
      <c r="M291">
        <v>0.96</v>
      </c>
      <c r="N291" t="s">
        <v>17</v>
      </c>
      <c r="O291">
        <v>100</v>
      </c>
      <c r="P291">
        <v>295.58</v>
      </c>
      <c r="Q291">
        <v>3</v>
      </c>
    </row>
    <row r="292" spans="1:17" x14ac:dyDescent="0.25">
      <c r="A292" t="str">
        <f t="shared" si="4"/>
        <v>0_5.5_66</v>
      </c>
      <c r="B292" s="1">
        <v>0</v>
      </c>
      <c r="C292">
        <v>1.49</v>
      </c>
      <c r="D292">
        <v>4340</v>
      </c>
      <c r="E292">
        <v>0.82</v>
      </c>
      <c r="F292">
        <v>3.03</v>
      </c>
      <c r="G292">
        <v>3.03</v>
      </c>
      <c r="H292">
        <v>4.53</v>
      </c>
      <c r="I292">
        <v>4.53</v>
      </c>
      <c r="J292">
        <v>5.5</v>
      </c>
      <c r="K292">
        <v>16000</v>
      </c>
      <c r="L292">
        <v>66</v>
      </c>
      <c r="M292">
        <v>0.97</v>
      </c>
      <c r="N292" t="s">
        <v>16</v>
      </c>
      <c r="O292">
        <v>100</v>
      </c>
      <c r="P292">
        <v>489.08</v>
      </c>
      <c r="Q292">
        <v>3</v>
      </c>
    </row>
    <row r="293" spans="1:17" x14ac:dyDescent="0.25">
      <c r="A293" t="str">
        <f t="shared" si="4"/>
        <v>1_5.5_66</v>
      </c>
      <c r="B293" s="1">
        <v>1</v>
      </c>
      <c r="C293">
        <v>1.4</v>
      </c>
      <c r="D293">
        <v>4457</v>
      </c>
      <c r="E293">
        <v>0.84</v>
      </c>
      <c r="F293">
        <v>4.47</v>
      </c>
      <c r="G293">
        <v>4.47</v>
      </c>
      <c r="H293">
        <v>6.26</v>
      </c>
      <c r="I293">
        <v>6.26</v>
      </c>
      <c r="J293">
        <v>5.5</v>
      </c>
      <c r="K293">
        <v>14335.55</v>
      </c>
      <c r="L293">
        <v>66</v>
      </c>
      <c r="M293">
        <v>0.76</v>
      </c>
      <c r="N293" t="s">
        <v>17</v>
      </c>
      <c r="O293">
        <v>98.3</v>
      </c>
      <c r="P293">
        <v>321.43</v>
      </c>
      <c r="Q293">
        <v>3</v>
      </c>
    </row>
    <row r="294" spans="1:17" x14ac:dyDescent="0.25">
      <c r="A294" t="str">
        <f t="shared" si="4"/>
        <v>0_5.6_66</v>
      </c>
      <c r="B294" s="1">
        <v>0</v>
      </c>
      <c r="C294">
        <v>1.29</v>
      </c>
      <c r="D294">
        <v>3359</v>
      </c>
      <c r="E294">
        <v>0.63</v>
      </c>
      <c r="F294">
        <v>3.85</v>
      </c>
      <c r="G294">
        <v>3.85</v>
      </c>
      <c r="H294">
        <v>4.95</v>
      </c>
      <c r="I294">
        <v>4.95</v>
      </c>
      <c r="J294">
        <v>5.6</v>
      </c>
      <c r="K294">
        <v>9581.3700000000008</v>
      </c>
      <c r="L294">
        <v>66</v>
      </c>
      <c r="M294">
        <v>0.65</v>
      </c>
      <c r="N294" t="s">
        <v>16</v>
      </c>
      <c r="O294">
        <v>100</v>
      </c>
      <c r="P294">
        <v>378.47</v>
      </c>
      <c r="Q294">
        <v>3</v>
      </c>
    </row>
    <row r="295" spans="1:17" x14ac:dyDescent="0.25">
      <c r="A295" t="str">
        <f t="shared" si="4"/>
        <v>1_5.6_66</v>
      </c>
      <c r="B295" s="1">
        <v>1</v>
      </c>
      <c r="C295">
        <v>1.31</v>
      </c>
      <c r="D295">
        <v>3998</v>
      </c>
      <c r="E295">
        <v>0.75</v>
      </c>
      <c r="F295">
        <v>4.8899999999999997</v>
      </c>
      <c r="G295">
        <v>4.8899999999999997</v>
      </c>
      <c r="H295">
        <v>6.4</v>
      </c>
      <c r="I295">
        <v>6.4</v>
      </c>
      <c r="J295">
        <v>5.6</v>
      </c>
      <c r="K295">
        <v>11356.2</v>
      </c>
      <c r="L295">
        <v>66</v>
      </c>
      <c r="M295">
        <v>0.8</v>
      </c>
      <c r="N295" t="s">
        <v>17</v>
      </c>
      <c r="O295">
        <v>100</v>
      </c>
      <c r="P295">
        <v>291.27</v>
      </c>
      <c r="Q295">
        <v>3</v>
      </c>
    </row>
    <row r="296" spans="1:17" x14ac:dyDescent="0.25">
      <c r="A296" t="str">
        <f t="shared" si="4"/>
        <v>0_5.7_66</v>
      </c>
      <c r="B296" s="1">
        <v>0</v>
      </c>
      <c r="C296">
        <v>1.3</v>
      </c>
      <c r="D296">
        <v>3436</v>
      </c>
      <c r="E296">
        <v>0.65</v>
      </c>
      <c r="F296">
        <v>3.77</v>
      </c>
      <c r="G296">
        <v>3.77</v>
      </c>
      <c r="H296">
        <v>4.9000000000000004</v>
      </c>
      <c r="I296">
        <v>4.9000000000000004</v>
      </c>
      <c r="J296">
        <v>5.7</v>
      </c>
      <c r="K296">
        <v>10026.56</v>
      </c>
      <c r="L296">
        <v>66</v>
      </c>
      <c r="M296">
        <v>0.8</v>
      </c>
      <c r="N296" t="s">
        <v>16</v>
      </c>
      <c r="O296">
        <v>100</v>
      </c>
      <c r="P296">
        <v>387.16</v>
      </c>
      <c r="Q296">
        <v>3</v>
      </c>
    </row>
    <row r="297" spans="1:17" x14ac:dyDescent="0.25">
      <c r="A297" t="str">
        <f t="shared" si="4"/>
        <v>1_5.7_66</v>
      </c>
      <c r="B297" s="1">
        <v>1</v>
      </c>
      <c r="C297">
        <v>1.32</v>
      </c>
      <c r="D297">
        <v>4044</v>
      </c>
      <c r="E297">
        <v>0.76</v>
      </c>
      <c r="F297">
        <v>4.84</v>
      </c>
      <c r="G297">
        <v>4.84</v>
      </c>
      <c r="H297">
        <v>6.37</v>
      </c>
      <c r="I297">
        <v>6.37</v>
      </c>
      <c r="J297">
        <v>5.7</v>
      </c>
      <c r="K297">
        <v>11619.63</v>
      </c>
      <c r="L297">
        <v>66</v>
      </c>
      <c r="M297">
        <v>0.67</v>
      </c>
      <c r="N297" t="s">
        <v>17</v>
      </c>
      <c r="O297">
        <v>100</v>
      </c>
      <c r="P297">
        <v>294.63</v>
      </c>
      <c r="Q297">
        <v>3</v>
      </c>
    </row>
    <row r="298" spans="1:17" x14ac:dyDescent="0.25">
      <c r="A298" t="str">
        <f t="shared" si="4"/>
        <v>0_5.8_66</v>
      </c>
      <c r="B298" s="1">
        <v>0</v>
      </c>
      <c r="C298">
        <v>1.24</v>
      </c>
      <c r="D298">
        <v>3057</v>
      </c>
      <c r="E298">
        <v>0.57999999999999996</v>
      </c>
      <c r="F298">
        <v>4.2</v>
      </c>
      <c r="G298">
        <v>4.2</v>
      </c>
      <c r="H298">
        <v>5.18</v>
      </c>
      <c r="I298">
        <v>5.18</v>
      </c>
      <c r="J298">
        <v>5.8</v>
      </c>
      <c r="K298">
        <v>7938.6</v>
      </c>
      <c r="L298">
        <v>66</v>
      </c>
      <c r="M298">
        <v>0.62</v>
      </c>
      <c r="N298" t="s">
        <v>16</v>
      </c>
      <c r="O298">
        <v>100</v>
      </c>
      <c r="P298">
        <v>344.5</v>
      </c>
      <c r="Q298">
        <v>3</v>
      </c>
    </row>
    <row r="299" spans="1:17" x14ac:dyDescent="0.25">
      <c r="A299" t="str">
        <f t="shared" si="4"/>
        <v>1_5.8_66</v>
      </c>
      <c r="B299" s="1">
        <v>1</v>
      </c>
      <c r="C299">
        <v>1.28</v>
      </c>
      <c r="D299">
        <v>3795</v>
      </c>
      <c r="E299">
        <v>0.72</v>
      </c>
      <c r="F299">
        <v>5.12</v>
      </c>
      <c r="G299">
        <v>5.12</v>
      </c>
      <c r="H299">
        <v>6.54</v>
      </c>
      <c r="I299">
        <v>6.54</v>
      </c>
      <c r="J299">
        <v>5.8</v>
      </c>
      <c r="K299">
        <v>10231.790000000001</v>
      </c>
      <c r="L299">
        <v>66</v>
      </c>
      <c r="M299">
        <v>0.74</v>
      </c>
      <c r="N299" t="s">
        <v>17</v>
      </c>
      <c r="O299">
        <v>100</v>
      </c>
      <c r="P299">
        <v>276.48</v>
      </c>
      <c r="Q299">
        <v>3</v>
      </c>
    </row>
    <row r="300" spans="1:17" x14ac:dyDescent="0.25">
      <c r="A300" t="str">
        <f t="shared" si="4"/>
        <v>0_5.9_66</v>
      </c>
      <c r="B300" s="1">
        <v>0</v>
      </c>
      <c r="C300">
        <v>1.49</v>
      </c>
      <c r="D300">
        <v>4340</v>
      </c>
      <c r="E300">
        <v>0.82</v>
      </c>
      <c r="F300">
        <v>3.03</v>
      </c>
      <c r="G300">
        <v>3.03</v>
      </c>
      <c r="H300">
        <v>4.53</v>
      </c>
      <c r="I300">
        <v>4.53</v>
      </c>
      <c r="J300">
        <v>5.9</v>
      </c>
      <c r="K300">
        <v>16000</v>
      </c>
      <c r="L300">
        <v>66</v>
      </c>
      <c r="M300">
        <v>1.37</v>
      </c>
      <c r="N300" t="s">
        <v>16</v>
      </c>
      <c r="O300">
        <v>100</v>
      </c>
      <c r="P300">
        <v>489.08</v>
      </c>
      <c r="Q300">
        <v>3</v>
      </c>
    </row>
    <row r="301" spans="1:17" x14ac:dyDescent="0.25">
      <c r="A301" t="str">
        <f t="shared" si="4"/>
        <v>1_5.9_66</v>
      </c>
      <c r="B301" s="1">
        <v>1</v>
      </c>
      <c r="C301">
        <v>1.46</v>
      </c>
      <c r="D301">
        <v>4579</v>
      </c>
      <c r="E301">
        <v>0.86</v>
      </c>
      <c r="F301">
        <v>4.47</v>
      </c>
      <c r="G301">
        <v>4.47</v>
      </c>
      <c r="H301">
        <v>6.53</v>
      </c>
      <c r="I301">
        <v>6.53</v>
      </c>
      <c r="J301">
        <v>5.9</v>
      </c>
      <c r="K301">
        <v>15716.51</v>
      </c>
      <c r="L301">
        <v>66</v>
      </c>
      <c r="M301">
        <v>0.63</v>
      </c>
      <c r="N301" t="s">
        <v>17</v>
      </c>
      <c r="O301">
        <v>93.89</v>
      </c>
      <c r="P301">
        <v>321.43</v>
      </c>
      <c r="Q301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A47"/>
  <sheetViews>
    <sheetView workbookViewId="0">
      <selection activeCell="F28" sqref="F28"/>
    </sheetView>
  </sheetViews>
  <sheetFormatPr defaultRowHeight="15" x14ac:dyDescent="0.25"/>
  <sheetData>
    <row r="1" spans="1:27" x14ac:dyDescent="0.25">
      <c r="A1" s="1" t="s">
        <v>10</v>
      </c>
      <c r="B1" s="1">
        <v>5</v>
      </c>
      <c r="C1" s="1">
        <v>5.0999999999999996</v>
      </c>
      <c r="D1" s="1">
        <v>5.2</v>
      </c>
      <c r="E1" s="1">
        <v>5.3</v>
      </c>
      <c r="F1" s="1">
        <v>5.4</v>
      </c>
      <c r="G1" s="1">
        <v>5.5</v>
      </c>
      <c r="H1" s="1">
        <v>5.6</v>
      </c>
      <c r="I1" s="1">
        <v>5.7</v>
      </c>
      <c r="J1" s="1">
        <v>5.8</v>
      </c>
      <c r="K1" s="1">
        <v>5.9</v>
      </c>
      <c r="N1">
        <f>B1</f>
        <v>5</v>
      </c>
      <c r="O1">
        <f t="shared" ref="O1:W1" si="0">C1</f>
        <v>5.0999999999999996</v>
      </c>
      <c r="P1">
        <f t="shared" si="0"/>
        <v>5.2</v>
      </c>
      <c r="Q1">
        <f t="shared" si="0"/>
        <v>5.3</v>
      </c>
      <c r="R1">
        <f t="shared" si="0"/>
        <v>5.4</v>
      </c>
      <c r="S1">
        <f t="shared" si="0"/>
        <v>5.5</v>
      </c>
      <c r="T1">
        <f t="shared" si="0"/>
        <v>5.6</v>
      </c>
      <c r="U1">
        <f t="shared" si="0"/>
        <v>5.7</v>
      </c>
      <c r="V1">
        <f t="shared" si="0"/>
        <v>5.8</v>
      </c>
      <c r="W1">
        <f t="shared" si="0"/>
        <v>5.9</v>
      </c>
    </row>
    <row r="2" spans="1:27" x14ac:dyDescent="0.25">
      <c r="A2" s="1">
        <v>20</v>
      </c>
      <c r="B2">
        <v>1.6</v>
      </c>
      <c r="C2">
        <v>1.65</v>
      </c>
      <c r="D2">
        <v>1.65</v>
      </c>
      <c r="E2">
        <v>1.65</v>
      </c>
      <c r="F2">
        <v>1.65</v>
      </c>
      <c r="G2">
        <v>2.15</v>
      </c>
      <c r="H2">
        <v>2.16</v>
      </c>
      <c r="I2">
        <v>2.16</v>
      </c>
      <c r="J2">
        <v>2.16</v>
      </c>
      <c r="K2">
        <v>2.2599999999999998</v>
      </c>
      <c r="N2">
        <v>1.79</v>
      </c>
      <c r="O2">
        <v>1.79</v>
      </c>
      <c r="P2">
        <v>1.79</v>
      </c>
      <c r="Q2">
        <v>1.79</v>
      </c>
      <c r="R2">
        <v>1.85</v>
      </c>
      <c r="S2">
        <v>2.0499999999999998</v>
      </c>
      <c r="T2">
        <v>2.17</v>
      </c>
      <c r="U2">
        <v>2.2599999999999998</v>
      </c>
      <c r="V2">
        <v>2.35</v>
      </c>
      <c r="W2">
        <v>2.4300000000000002</v>
      </c>
      <c r="Y2">
        <v>5</v>
      </c>
    </row>
    <row r="3" spans="1:27" x14ac:dyDescent="0.25">
      <c r="A3" s="1">
        <v>25</v>
      </c>
      <c r="B3">
        <v>1.6</v>
      </c>
      <c r="C3">
        <v>1.65</v>
      </c>
      <c r="D3">
        <v>1.65</v>
      </c>
      <c r="E3">
        <v>1.65</v>
      </c>
      <c r="F3">
        <v>1.65</v>
      </c>
      <c r="G3">
        <v>2.15</v>
      </c>
      <c r="H3">
        <v>2.16</v>
      </c>
      <c r="I3">
        <v>2.1800000000000002</v>
      </c>
      <c r="J3">
        <v>2.2599999999999998</v>
      </c>
      <c r="K3">
        <v>2.2599999999999998</v>
      </c>
      <c r="N3">
        <v>1.79</v>
      </c>
      <c r="O3">
        <v>1.79</v>
      </c>
      <c r="P3">
        <v>1.79</v>
      </c>
      <c r="Q3">
        <v>1.79</v>
      </c>
      <c r="R3">
        <v>1.85</v>
      </c>
      <c r="S3">
        <v>2.0499999999999998</v>
      </c>
      <c r="T3">
        <v>2.17</v>
      </c>
      <c r="U3">
        <v>2.2599999999999998</v>
      </c>
      <c r="V3">
        <v>2.35</v>
      </c>
      <c r="W3">
        <v>2.4300000000000002</v>
      </c>
    </row>
    <row r="4" spans="1:27" x14ac:dyDescent="0.25">
      <c r="A4" s="1">
        <v>30</v>
      </c>
      <c r="B4">
        <v>2.04</v>
      </c>
      <c r="C4">
        <v>2.0499999999999998</v>
      </c>
      <c r="D4">
        <v>2.0499999999999998</v>
      </c>
      <c r="E4">
        <v>2.0499999999999998</v>
      </c>
      <c r="F4">
        <v>2.0499999999999998</v>
      </c>
      <c r="G4">
        <v>2.15</v>
      </c>
      <c r="H4">
        <v>2.16</v>
      </c>
      <c r="I4">
        <v>2.1800000000000002</v>
      </c>
      <c r="J4">
        <v>2.34</v>
      </c>
      <c r="K4">
        <v>2.6</v>
      </c>
      <c r="N4">
        <v>1.79</v>
      </c>
      <c r="O4">
        <v>1.79</v>
      </c>
      <c r="P4">
        <v>1.79</v>
      </c>
      <c r="Q4">
        <v>1.79</v>
      </c>
      <c r="R4">
        <v>1.85</v>
      </c>
      <c r="S4">
        <v>2.0499999999999998</v>
      </c>
      <c r="T4">
        <v>2.17</v>
      </c>
      <c r="U4">
        <v>2.2599999999999998</v>
      </c>
      <c r="V4">
        <v>2.35</v>
      </c>
      <c r="W4">
        <v>2.4300000000000002</v>
      </c>
    </row>
    <row r="5" spans="1:27" x14ac:dyDescent="0.25">
      <c r="A5" s="1">
        <v>35</v>
      </c>
      <c r="B5">
        <v>2.0499999999999998</v>
      </c>
      <c r="C5">
        <v>2.0499999999999998</v>
      </c>
      <c r="D5">
        <v>2.0499999999999998</v>
      </c>
      <c r="E5">
        <v>2.0499999999999998</v>
      </c>
      <c r="F5">
        <v>2.0499999999999998</v>
      </c>
      <c r="G5">
        <v>2.2000000000000002</v>
      </c>
      <c r="H5">
        <v>2.33</v>
      </c>
      <c r="I5">
        <v>2.33</v>
      </c>
      <c r="J5">
        <v>2.34</v>
      </c>
      <c r="K5">
        <v>2.6</v>
      </c>
      <c r="N5">
        <v>2.19</v>
      </c>
      <c r="O5">
        <v>2.19</v>
      </c>
      <c r="P5">
        <v>2.19</v>
      </c>
      <c r="Q5">
        <v>2.19</v>
      </c>
      <c r="R5">
        <v>2.4300000000000002</v>
      </c>
      <c r="S5">
        <v>2.4300000000000002</v>
      </c>
      <c r="T5">
        <v>2.4300000000000002</v>
      </c>
      <c r="U5">
        <v>2.4300000000000002</v>
      </c>
      <c r="V5">
        <v>2.48</v>
      </c>
      <c r="W5">
        <v>2.48</v>
      </c>
    </row>
    <row r="6" spans="1:27" x14ac:dyDescent="0.25">
      <c r="A6" s="1">
        <v>40</v>
      </c>
      <c r="B6">
        <v>2.0499999999999998</v>
      </c>
      <c r="C6">
        <v>2.0499999999999998</v>
      </c>
      <c r="D6">
        <v>2.0499999999999998</v>
      </c>
      <c r="E6">
        <v>2.0499999999999998</v>
      </c>
      <c r="F6">
        <v>2.0499999999999998</v>
      </c>
      <c r="G6">
        <v>2.2000000000000002</v>
      </c>
      <c r="H6">
        <v>2.33</v>
      </c>
      <c r="I6">
        <v>2.33</v>
      </c>
      <c r="J6">
        <v>2.34</v>
      </c>
      <c r="K6">
        <v>2.6</v>
      </c>
      <c r="N6">
        <v>2.65</v>
      </c>
      <c r="O6">
        <v>2.65</v>
      </c>
      <c r="P6">
        <v>2.65</v>
      </c>
      <c r="Q6">
        <v>2.65</v>
      </c>
      <c r="R6">
        <v>2.65</v>
      </c>
      <c r="S6">
        <v>2.65</v>
      </c>
      <c r="T6">
        <v>2.65</v>
      </c>
      <c r="U6">
        <v>2.65</v>
      </c>
      <c r="V6">
        <v>2.97</v>
      </c>
      <c r="W6">
        <v>2.97</v>
      </c>
    </row>
    <row r="7" spans="1:27" x14ac:dyDescent="0.25">
      <c r="A7" s="1">
        <v>45</v>
      </c>
      <c r="B7">
        <v>2.0499999999999998</v>
      </c>
      <c r="C7">
        <v>2.0499999999999998</v>
      </c>
      <c r="D7">
        <v>2.0499999999999998</v>
      </c>
      <c r="E7">
        <v>2.0499999999999998</v>
      </c>
      <c r="F7">
        <v>2.0499999999999998</v>
      </c>
      <c r="G7">
        <v>2.2000000000000002</v>
      </c>
      <c r="H7">
        <v>2.33</v>
      </c>
      <c r="I7">
        <v>2.33</v>
      </c>
      <c r="J7">
        <v>2.34</v>
      </c>
      <c r="K7">
        <v>2.6</v>
      </c>
      <c r="N7">
        <v>2.65</v>
      </c>
      <c r="O7">
        <v>2.65</v>
      </c>
      <c r="P7">
        <v>2.65</v>
      </c>
      <c r="Q7">
        <v>2.65</v>
      </c>
      <c r="R7">
        <v>2.65</v>
      </c>
      <c r="S7">
        <v>2.65</v>
      </c>
      <c r="T7">
        <v>2.65</v>
      </c>
      <c r="U7">
        <v>2.65</v>
      </c>
      <c r="V7">
        <v>2.97</v>
      </c>
      <c r="W7">
        <v>2.97</v>
      </c>
    </row>
    <row r="8" spans="1:27" x14ac:dyDescent="0.25">
      <c r="A8" s="1">
        <v>50</v>
      </c>
      <c r="B8">
        <v>2.0499999999999998</v>
      </c>
      <c r="C8">
        <v>2.0499999999999998</v>
      </c>
      <c r="D8">
        <v>2.0499999999999998</v>
      </c>
      <c r="E8">
        <v>2.0499999999999998</v>
      </c>
      <c r="F8">
        <v>2.0499999999999998</v>
      </c>
      <c r="G8">
        <v>2.2000000000000002</v>
      </c>
      <c r="H8">
        <v>2.4300000000000002</v>
      </c>
      <c r="I8">
        <v>2.4300000000000002</v>
      </c>
      <c r="J8">
        <v>2.4300000000000002</v>
      </c>
      <c r="K8">
        <v>2.6</v>
      </c>
      <c r="N8">
        <v>2.65</v>
      </c>
      <c r="O8">
        <v>2.65</v>
      </c>
      <c r="P8">
        <v>2.65</v>
      </c>
      <c r="Q8">
        <v>2.65</v>
      </c>
      <c r="R8">
        <v>2.65</v>
      </c>
      <c r="S8">
        <v>2.65</v>
      </c>
      <c r="T8">
        <v>2.65</v>
      </c>
      <c r="U8">
        <v>2.65</v>
      </c>
      <c r="V8">
        <v>2.97</v>
      </c>
      <c r="W8">
        <v>2.97</v>
      </c>
      <c r="AA8">
        <f t="array" ref="AA8:AA23">TRANSPOSE(N1:W1)</f>
        <v>5</v>
      </c>
    </row>
    <row r="9" spans="1:27" x14ac:dyDescent="0.25">
      <c r="A9" s="1">
        <v>55</v>
      </c>
      <c r="B9">
        <v>2.23</v>
      </c>
      <c r="C9">
        <v>2.23</v>
      </c>
      <c r="D9">
        <v>2.23</v>
      </c>
      <c r="E9">
        <v>2.23</v>
      </c>
      <c r="F9">
        <v>2.23</v>
      </c>
      <c r="G9">
        <v>2.23</v>
      </c>
      <c r="H9">
        <v>2.4300000000000002</v>
      </c>
      <c r="I9">
        <v>2.4300000000000002</v>
      </c>
      <c r="J9">
        <v>2.4300000000000002</v>
      </c>
      <c r="K9">
        <v>2.87</v>
      </c>
      <c r="N9">
        <v>2.65</v>
      </c>
      <c r="O9">
        <v>2.65</v>
      </c>
      <c r="P9">
        <v>2.65</v>
      </c>
      <c r="Q9">
        <v>2.65</v>
      </c>
      <c r="R9">
        <v>2.65</v>
      </c>
      <c r="S9">
        <v>2.65</v>
      </c>
      <c r="T9">
        <v>2.65</v>
      </c>
      <c r="U9">
        <v>2.65</v>
      </c>
      <c r="V9">
        <v>2.97</v>
      </c>
      <c r="W9">
        <v>2.97</v>
      </c>
      <c r="AA9">
        <v>5.0999999999999996</v>
      </c>
    </row>
    <row r="10" spans="1:27" x14ac:dyDescent="0.25">
      <c r="A10" s="1">
        <v>60</v>
      </c>
      <c r="B10">
        <v>2.23</v>
      </c>
      <c r="C10">
        <v>2.23</v>
      </c>
      <c r="D10">
        <v>2.23</v>
      </c>
      <c r="E10">
        <v>2.23</v>
      </c>
      <c r="F10">
        <v>2.23</v>
      </c>
      <c r="G10">
        <v>2.23</v>
      </c>
      <c r="H10">
        <v>2.4300000000000002</v>
      </c>
      <c r="I10">
        <v>2.4300000000000002</v>
      </c>
      <c r="J10">
        <v>2.4300000000000002</v>
      </c>
      <c r="K10">
        <v>2.87</v>
      </c>
      <c r="N10">
        <v>2.65</v>
      </c>
      <c r="O10">
        <v>2.65</v>
      </c>
      <c r="P10">
        <v>2.65</v>
      </c>
      <c r="Q10">
        <v>2.65</v>
      </c>
      <c r="R10">
        <v>2.65</v>
      </c>
      <c r="S10">
        <v>2.65</v>
      </c>
      <c r="T10">
        <v>2.65</v>
      </c>
      <c r="U10">
        <v>2.65</v>
      </c>
      <c r="V10">
        <v>2.97</v>
      </c>
      <c r="W10">
        <v>2.97</v>
      </c>
      <c r="AA10">
        <v>5.2</v>
      </c>
    </row>
    <row r="11" spans="1:27" x14ac:dyDescent="0.25">
      <c r="A11" s="1">
        <v>65</v>
      </c>
      <c r="B11">
        <v>2.23</v>
      </c>
      <c r="C11">
        <v>2.23</v>
      </c>
      <c r="D11">
        <v>2.23</v>
      </c>
      <c r="E11">
        <v>2.23</v>
      </c>
      <c r="F11">
        <v>2.23</v>
      </c>
      <c r="G11">
        <v>2.23</v>
      </c>
      <c r="H11">
        <v>2.4300000000000002</v>
      </c>
      <c r="I11">
        <v>2.4300000000000002</v>
      </c>
      <c r="J11">
        <v>2.4300000000000002</v>
      </c>
      <c r="K11">
        <v>2.87</v>
      </c>
      <c r="N11">
        <v>2.97</v>
      </c>
      <c r="O11">
        <v>2.97</v>
      </c>
      <c r="P11">
        <v>2.97</v>
      </c>
      <c r="Q11">
        <v>2.97</v>
      </c>
      <c r="R11">
        <v>2.97</v>
      </c>
      <c r="S11">
        <v>2.97</v>
      </c>
      <c r="T11">
        <v>2.97</v>
      </c>
      <c r="U11">
        <v>2.97</v>
      </c>
      <c r="V11">
        <v>2.97</v>
      </c>
      <c r="W11">
        <v>2.97</v>
      </c>
      <c r="AA11">
        <v>5.3</v>
      </c>
    </row>
    <row r="12" spans="1:27" x14ac:dyDescent="0.25">
      <c r="A12" s="1">
        <v>70</v>
      </c>
      <c r="B12">
        <v>2.25</v>
      </c>
      <c r="C12">
        <v>2.4300000000000002</v>
      </c>
      <c r="D12">
        <v>2.4300000000000002</v>
      </c>
      <c r="E12">
        <v>2.4300000000000002</v>
      </c>
      <c r="F12">
        <v>2.4300000000000002</v>
      </c>
      <c r="G12">
        <v>2.4300000000000002</v>
      </c>
      <c r="H12">
        <v>2.4300000000000002</v>
      </c>
      <c r="I12">
        <v>2.4300000000000002</v>
      </c>
      <c r="J12">
        <v>2.4300000000000002</v>
      </c>
      <c r="K12">
        <v>2.87</v>
      </c>
      <c r="N12">
        <v>3.05</v>
      </c>
      <c r="O12">
        <v>3.05</v>
      </c>
      <c r="P12">
        <v>3.19</v>
      </c>
      <c r="Q12">
        <v>3.19</v>
      </c>
      <c r="R12">
        <v>3.19</v>
      </c>
      <c r="S12">
        <v>3.29</v>
      </c>
      <c r="T12">
        <v>3.29</v>
      </c>
      <c r="U12">
        <v>3.29</v>
      </c>
      <c r="V12">
        <v>3.29</v>
      </c>
      <c r="W12">
        <v>3.97</v>
      </c>
      <c r="AA12">
        <v>5.4</v>
      </c>
    </row>
    <row r="13" spans="1:27" x14ac:dyDescent="0.25">
      <c r="A13" s="1">
        <v>75</v>
      </c>
      <c r="B13">
        <v>2.25</v>
      </c>
      <c r="C13">
        <v>2.4300000000000002</v>
      </c>
      <c r="D13">
        <v>2.4300000000000002</v>
      </c>
      <c r="E13">
        <v>2.4300000000000002</v>
      </c>
      <c r="F13">
        <v>2.4300000000000002</v>
      </c>
      <c r="G13">
        <v>2.4300000000000002</v>
      </c>
      <c r="H13">
        <v>2.4300000000000002</v>
      </c>
      <c r="I13">
        <v>2.4300000000000002</v>
      </c>
      <c r="J13">
        <v>2.4300000000000002</v>
      </c>
      <c r="K13">
        <v>2.87</v>
      </c>
      <c r="N13">
        <v>3.05</v>
      </c>
      <c r="O13">
        <v>3.05</v>
      </c>
      <c r="P13">
        <v>3.19</v>
      </c>
      <c r="Q13">
        <v>3.19</v>
      </c>
      <c r="R13">
        <v>3.19</v>
      </c>
      <c r="S13">
        <v>3.38</v>
      </c>
      <c r="T13">
        <v>3.38</v>
      </c>
      <c r="U13">
        <v>3.38</v>
      </c>
      <c r="V13">
        <v>3.94</v>
      </c>
      <c r="W13">
        <v>3.97</v>
      </c>
      <c r="AA13">
        <v>5.5</v>
      </c>
    </row>
    <row r="14" spans="1:27" x14ac:dyDescent="0.25">
      <c r="A14" s="1">
        <v>80</v>
      </c>
      <c r="B14">
        <v>2.4300000000000002</v>
      </c>
      <c r="C14">
        <v>2.4300000000000002</v>
      </c>
      <c r="D14">
        <v>2.4300000000000002</v>
      </c>
      <c r="E14">
        <v>2.4300000000000002</v>
      </c>
      <c r="F14">
        <v>2.4300000000000002</v>
      </c>
      <c r="G14">
        <v>2.4300000000000002</v>
      </c>
      <c r="H14">
        <v>2.4300000000000002</v>
      </c>
      <c r="I14">
        <v>2.4300000000000002</v>
      </c>
      <c r="J14">
        <v>2.4300000000000002</v>
      </c>
      <c r="K14">
        <v>2.87</v>
      </c>
      <c r="N14">
        <v>3.05</v>
      </c>
      <c r="O14">
        <v>3.05</v>
      </c>
      <c r="P14">
        <v>3.19</v>
      </c>
      <c r="Q14">
        <v>3.19</v>
      </c>
      <c r="R14">
        <v>3.19</v>
      </c>
      <c r="S14">
        <v>3.38</v>
      </c>
      <c r="T14">
        <v>3.38</v>
      </c>
      <c r="U14">
        <v>3.38</v>
      </c>
      <c r="V14">
        <v>3.94</v>
      </c>
      <c r="W14">
        <v>3.97</v>
      </c>
      <c r="AA14">
        <v>5.6</v>
      </c>
    </row>
    <row r="15" spans="1:27" x14ac:dyDescent="0.25">
      <c r="A15" s="1">
        <v>85</v>
      </c>
      <c r="B15">
        <v>2.4300000000000002</v>
      </c>
      <c r="C15">
        <v>2.4300000000000002</v>
      </c>
      <c r="D15">
        <v>2.4300000000000002</v>
      </c>
      <c r="E15">
        <v>2.4300000000000002</v>
      </c>
      <c r="F15">
        <v>2.4300000000000002</v>
      </c>
      <c r="G15">
        <v>2.4300000000000002</v>
      </c>
      <c r="H15">
        <v>2.4300000000000002</v>
      </c>
      <c r="I15">
        <v>2.4300000000000002</v>
      </c>
      <c r="J15">
        <v>2.4300000000000002</v>
      </c>
      <c r="K15">
        <v>2.87</v>
      </c>
      <c r="N15">
        <v>3.05</v>
      </c>
      <c r="O15">
        <v>3.05</v>
      </c>
      <c r="P15">
        <v>3.19</v>
      </c>
      <c r="Q15">
        <v>3.19</v>
      </c>
      <c r="R15">
        <v>3.19</v>
      </c>
      <c r="S15">
        <v>3.38</v>
      </c>
      <c r="T15">
        <v>3.38</v>
      </c>
      <c r="U15">
        <v>3.38</v>
      </c>
      <c r="V15">
        <v>3.94</v>
      </c>
      <c r="W15">
        <v>4.08</v>
      </c>
      <c r="AA15">
        <v>5.7</v>
      </c>
    </row>
    <row r="16" spans="1:27" x14ac:dyDescent="0.25">
      <c r="A16" s="1">
        <v>90</v>
      </c>
      <c r="B16">
        <v>2.63</v>
      </c>
      <c r="C16">
        <v>2.63</v>
      </c>
      <c r="D16">
        <v>2.63</v>
      </c>
      <c r="E16">
        <v>2.87</v>
      </c>
      <c r="F16">
        <v>2.87</v>
      </c>
      <c r="G16">
        <v>2.87</v>
      </c>
      <c r="H16">
        <v>2.87</v>
      </c>
      <c r="I16">
        <v>2.87</v>
      </c>
      <c r="J16">
        <v>2.87</v>
      </c>
      <c r="K16">
        <v>2.87</v>
      </c>
      <c r="N16">
        <v>3.11</v>
      </c>
      <c r="O16">
        <v>3.19</v>
      </c>
      <c r="P16">
        <v>3.19</v>
      </c>
      <c r="Q16">
        <v>3.19</v>
      </c>
      <c r="R16">
        <v>3.19</v>
      </c>
      <c r="S16">
        <v>3.38</v>
      </c>
      <c r="T16">
        <v>3.38</v>
      </c>
      <c r="U16">
        <v>3.38</v>
      </c>
      <c r="V16">
        <v>3.94</v>
      </c>
      <c r="W16">
        <v>4.08</v>
      </c>
      <c r="AA16">
        <v>5.8</v>
      </c>
    </row>
    <row r="17" spans="1:27" x14ac:dyDescent="0.25">
      <c r="A17" s="1">
        <v>95</v>
      </c>
      <c r="B17">
        <v>2.87</v>
      </c>
      <c r="C17">
        <v>2.87</v>
      </c>
      <c r="D17">
        <v>2.87</v>
      </c>
      <c r="E17">
        <v>2.87</v>
      </c>
      <c r="F17">
        <v>2.87</v>
      </c>
      <c r="G17">
        <v>2.87</v>
      </c>
      <c r="H17">
        <v>2.87</v>
      </c>
      <c r="I17">
        <v>2.87</v>
      </c>
      <c r="J17">
        <v>2.87</v>
      </c>
      <c r="K17">
        <v>2.87</v>
      </c>
      <c r="N17">
        <v>3.11</v>
      </c>
      <c r="O17">
        <v>3.38</v>
      </c>
      <c r="P17">
        <v>3.38</v>
      </c>
      <c r="Q17">
        <v>3.38</v>
      </c>
      <c r="R17">
        <v>3.38</v>
      </c>
      <c r="S17">
        <v>3.38</v>
      </c>
      <c r="T17">
        <v>3.38</v>
      </c>
      <c r="U17">
        <v>3.38</v>
      </c>
      <c r="V17">
        <v>4.1399999999999997</v>
      </c>
      <c r="W17">
        <v>4.17</v>
      </c>
      <c r="AA17">
        <v>5.9</v>
      </c>
    </row>
    <row r="18" spans="1:27" x14ac:dyDescent="0.25">
      <c r="A18" s="1">
        <v>100</v>
      </c>
      <c r="B18">
        <v>2.87</v>
      </c>
      <c r="C18">
        <v>2.87</v>
      </c>
      <c r="D18">
        <v>2.87</v>
      </c>
      <c r="E18">
        <v>2.87</v>
      </c>
      <c r="F18">
        <v>2.87</v>
      </c>
      <c r="G18">
        <v>2.87</v>
      </c>
      <c r="H18">
        <v>2.87</v>
      </c>
      <c r="I18">
        <v>2.87</v>
      </c>
      <c r="J18">
        <v>2.87</v>
      </c>
      <c r="K18">
        <v>2.87</v>
      </c>
      <c r="N18">
        <v>3.11</v>
      </c>
      <c r="O18">
        <v>3.45</v>
      </c>
      <c r="P18">
        <v>3.45</v>
      </c>
      <c r="Q18">
        <v>3.45</v>
      </c>
      <c r="R18">
        <v>3.45</v>
      </c>
      <c r="S18">
        <v>3.45</v>
      </c>
      <c r="T18">
        <v>3.88</v>
      </c>
      <c r="U18">
        <v>4.1399999999999997</v>
      </c>
      <c r="V18">
        <v>4.1399999999999997</v>
      </c>
      <c r="W18">
        <v>4.17</v>
      </c>
      <c r="AA18" t="e">
        <v>#N/A</v>
      </c>
    </row>
    <row r="19" spans="1:27" x14ac:dyDescent="0.25">
      <c r="A19" s="1">
        <v>105</v>
      </c>
      <c r="B19">
        <v>2.87</v>
      </c>
      <c r="C19">
        <v>2.87</v>
      </c>
      <c r="D19">
        <v>2.87</v>
      </c>
      <c r="E19">
        <v>2.87</v>
      </c>
      <c r="F19">
        <v>2.87</v>
      </c>
      <c r="G19">
        <v>2.87</v>
      </c>
      <c r="H19">
        <v>2.87</v>
      </c>
      <c r="I19">
        <v>2.87</v>
      </c>
      <c r="J19">
        <v>2.87</v>
      </c>
      <c r="K19">
        <v>2.87</v>
      </c>
      <c r="N19">
        <v>3.11</v>
      </c>
      <c r="O19">
        <v>3.63</v>
      </c>
      <c r="P19">
        <v>3.63</v>
      </c>
      <c r="Q19">
        <v>3.69</v>
      </c>
      <c r="R19">
        <v>3.88</v>
      </c>
      <c r="S19">
        <v>3.88</v>
      </c>
      <c r="T19">
        <v>3.88</v>
      </c>
      <c r="U19">
        <v>4.1399999999999997</v>
      </c>
      <c r="V19">
        <v>4.1399999999999997</v>
      </c>
      <c r="W19">
        <v>4.17</v>
      </c>
      <c r="AA19" t="e">
        <v>#N/A</v>
      </c>
    </row>
    <row r="20" spans="1:27" x14ac:dyDescent="0.25">
      <c r="A20" s="1">
        <v>110</v>
      </c>
      <c r="B20">
        <v>2.87</v>
      </c>
      <c r="C20">
        <v>2.87</v>
      </c>
      <c r="D20">
        <v>2.87</v>
      </c>
      <c r="E20">
        <v>2.87</v>
      </c>
      <c r="F20">
        <v>2.87</v>
      </c>
      <c r="G20">
        <v>2.87</v>
      </c>
      <c r="H20">
        <v>2.87</v>
      </c>
      <c r="I20">
        <v>2.87</v>
      </c>
      <c r="J20">
        <v>2.87</v>
      </c>
      <c r="K20">
        <v>2.87</v>
      </c>
      <c r="N20">
        <v>3.11</v>
      </c>
      <c r="O20">
        <v>3.69</v>
      </c>
      <c r="P20">
        <v>3.69</v>
      </c>
      <c r="Q20">
        <v>3.69</v>
      </c>
      <c r="R20">
        <v>3.91</v>
      </c>
      <c r="S20">
        <v>3.91</v>
      </c>
      <c r="T20">
        <v>4.1399999999999997</v>
      </c>
      <c r="U20">
        <v>4.1399999999999997</v>
      </c>
      <c r="V20">
        <v>4.1399999999999997</v>
      </c>
      <c r="W20">
        <v>4.4000000000000004</v>
      </c>
      <c r="AA20" t="e">
        <v>#N/A</v>
      </c>
    </row>
    <row r="21" spans="1:27" x14ac:dyDescent="0.25">
      <c r="A21" s="1">
        <v>115</v>
      </c>
      <c r="B21">
        <v>3.03</v>
      </c>
      <c r="C21">
        <v>3.32</v>
      </c>
      <c r="D21">
        <v>3.32</v>
      </c>
      <c r="E21">
        <v>3.32</v>
      </c>
      <c r="F21">
        <v>3.32</v>
      </c>
      <c r="G21">
        <v>3.32</v>
      </c>
      <c r="H21">
        <v>3.32</v>
      </c>
      <c r="I21">
        <v>3.32</v>
      </c>
      <c r="J21">
        <v>3.67</v>
      </c>
      <c r="K21">
        <v>4.7</v>
      </c>
      <c r="N21">
        <v>3.69</v>
      </c>
      <c r="O21">
        <v>3.69</v>
      </c>
      <c r="P21">
        <v>3.69</v>
      </c>
      <c r="Q21">
        <v>3.69</v>
      </c>
      <c r="R21">
        <v>3.91</v>
      </c>
      <c r="S21">
        <v>3.91</v>
      </c>
      <c r="T21">
        <v>4.2300000000000004</v>
      </c>
      <c r="U21">
        <v>4.2300000000000004</v>
      </c>
      <c r="V21">
        <v>4.4000000000000004</v>
      </c>
      <c r="W21">
        <v>4.4000000000000004</v>
      </c>
      <c r="AA21" t="e">
        <v>#N/A</v>
      </c>
    </row>
    <row r="22" spans="1:27" x14ac:dyDescent="0.25">
      <c r="AA22" t="e">
        <v>#N/A</v>
      </c>
    </row>
    <row r="23" spans="1:27" x14ac:dyDescent="0.25">
      <c r="AA23" t="e">
        <v>#N/A</v>
      </c>
    </row>
    <row r="25" spans="1:27" x14ac:dyDescent="0.25">
      <c r="V25">
        <v>2</v>
      </c>
      <c r="W25">
        <v>1</v>
      </c>
    </row>
    <row r="26" spans="1:27" x14ac:dyDescent="0.25">
      <c r="U26">
        <f>A2</f>
        <v>20</v>
      </c>
      <c r="V26">
        <f t="array" ref="V26:V47">INDEX(N2:W21,,$Y$2)</f>
        <v>1.85</v>
      </c>
      <c r="W26">
        <f t="array" ref="W26:W45">INDEX(B2:K21,,$Y$2)</f>
        <v>1.65</v>
      </c>
    </row>
    <row r="27" spans="1:27" x14ac:dyDescent="0.25">
      <c r="U27">
        <f t="shared" ref="U27:U47" si="1">A3</f>
        <v>25</v>
      </c>
      <c r="V27">
        <v>1.85</v>
      </c>
      <c r="W27">
        <v>1.65</v>
      </c>
    </row>
    <row r="28" spans="1:27" x14ac:dyDescent="0.25">
      <c r="U28">
        <f t="shared" si="1"/>
        <v>30</v>
      </c>
      <c r="V28">
        <v>1.85</v>
      </c>
      <c r="W28">
        <v>2.0499999999999998</v>
      </c>
    </row>
    <row r="29" spans="1:27" x14ac:dyDescent="0.25">
      <c r="U29">
        <f t="shared" si="1"/>
        <v>35</v>
      </c>
      <c r="V29">
        <v>2.4300000000000002</v>
      </c>
      <c r="W29">
        <v>2.0499999999999998</v>
      </c>
    </row>
    <row r="30" spans="1:27" x14ac:dyDescent="0.25">
      <c r="U30">
        <f t="shared" si="1"/>
        <v>40</v>
      </c>
      <c r="V30">
        <v>2.65</v>
      </c>
      <c r="W30">
        <v>2.0499999999999998</v>
      </c>
    </row>
    <row r="31" spans="1:27" x14ac:dyDescent="0.25">
      <c r="U31">
        <f t="shared" si="1"/>
        <v>45</v>
      </c>
      <c r="V31">
        <v>2.65</v>
      </c>
      <c r="W31">
        <v>2.0499999999999998</v>
      </c>
    </row>
    <row r="32" spans="1:27" x14ac:dyDescent="0.25">
      <c r="U32">
        <f t="shared" si="1"/>
        <v>50</v>
      </c>
      <c r="V32">
        <v>2.65</v>
      </c>
      <c r="W32">
        <v>2.0499999999999998</v>
      </c>
    </row>
    <row r="33" spans="21:23" x14ac:dyDescent="0.25">
      <c r="U33">
        <f t="shared" si="1"/>
        <v>55</v>
      </c>
      <c r="V33">
        <v>2.65</v>
      </c>
      <c r="W33">
        <v>2.23</v>
      </c>
    </row>
    <row r="34" spans="21:23" x14ac:dyDescent="0.25">
      <c r="U34">
        <f t="shared" si="1"/>
        <v>60</v>
      </c>
      <c r="V34">
        <v>2.65</v>
      </c>
      <c r="W34">
        <v>2.23</v>
      </c>
    </row>
    <row r="35" spans="21:23" x14ac:dyDescent="0.25">
      <c r="U35">
        <f t="shared" si="1"/>
        <v>65</v>
      </c>
      <c r="V35">
        <v>2.97</v>
      </c>
      <c r="W35">
        <v>2.23</v>
      </c>
    </row>
    <row r="36" spans="21:23" x14ac:dyDescent="0.25">
      <c r="U36">
        <f t="shared" si="1"/>
        <v>70</v>
      </c>
      <c r="V36">
        <v>3.19</v>
      </c>
      <c r="W36">
        <v>2.4300000000000002</v>
      </c>
    </row>
    <row r="37" spans="21:23" x14ac:dyDescent="0.25">
      <c r="U37">
        <f t="shared" si="1"/>
        <v>75</v>
      </c>
      <c r="V37">
        <v>3.19</v>
      </c>
      <c r="W37">
        <v>2.4300000000000002</v>
      </c>
    </row>
    <row r="38" spans="21:23" x14ac:dyDescent="0.25">
      <c r="U38">
        <f t="shared" si="1"/>
        <v>80</v>
      </c>
      <c r="V38">
        <v>3.19</v>
      </c>
      <c r="W38">
        <v>2.4300000000000002</v>
      </c>
    </row>
    <row r="39" spans="21:23" x14ac:dyDescent="0.25">
      <c r="U39">
        <f t="shared" si="1"/>
        <v>85</v>
      </c>
      <c r="V39">
        <v>3.19</v>
      </c>
      <c r="W39">
        <v>2.4300000000000002</v>
      </c>
    </row>
    <row r="40" spans="21:23" x14ac:dyDescent="0.25">
      <c r="U40">
        <f t="shared" si="1"/>
        <v>90</v>
      </c>
      <c r="V40">
        <v>3.19</v>
      </c>
      <c r="W40">
        <v>2.87</v>
      </c>
    </row>
    <row r="41" spans="21:23" x14ac:dyDescent="0.25">
      <c r="U41">
        <f t="shared" si="1"/>
        <v>95</v>
      </c>
      <c r="V41">
        <v>3.38</v>
      </c>
      <c r="W41">
        <v>2.87</v>
      </c>
    </row>
    <row r="42" spans="21:23" x14ac:dyDescent="0.25">
      <c r="U42">
        <f t="shared" si="1"/>
        <v>100</v>
      </c>
      <c r="V42">
        <v>3.45</v>
      </c>
      <c r="W42">
        <v>2.87</v>
      </c>
    </row>
    <row r="43" spans="21:23" x14ac:dyDescent="0.25">
      <c r="U43">
        <f t="shared" si="1"/>
        <v>105</v>
      </c>
      <c r="V43">
        <v>3.88</v>
      </c>
      <c r="W43">
        <v>2.87</v>
      </c>
    </row>
    <row r="44" spans="21:23" x14ac:dyDescent="0.25">
      <c r="U44">
        <f t="shared" si="1"/>
        <v>110</v>
      </c>
      <c r="V44">
        <v>3.91</v>
      </c>
      <c r="W44">
        <v>2.87</v>
      </c>
    </row>
    <row r="45" spans="21:23" x14ac:dyDescent="0.25">
      <c r="U45">
        <f t="shared" si="1"/>
        <v>115</v>
      </c>
      <c r="V45">
        <v>3.91</v>
      </c>
      <c r="W45">
        <v>3.32</v>
      </c>
    </row>
    <row r="46" spans="21:23" x14ac:dyDescent="0.25">
      <c r="U46">
        <f t="shared" si="1"/>
        <v>0</v>
      </c>
      <c r="V46" t="e">
        <v>#N/A</v>
      </c>
    </row>
    <row r="47" spans="21:23" x14ac:dyDescent="0.25">
      <c r="U47">
        <f t="shared" si="1"/>
        <v>0</v>
      </c>
      <c r="V47" t="e">
        <v>#N/A</v>
      </c>
    </row>
  </sheetData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4" name="List Box 1">
              <controlPr defaultSize="0" autoLine="0" autoPict="0">
                <anchor moveWithCells="1">
                  <from>
                    <xdr:col>23</xdr:col>
                    <xdr:colOff>428625</xdr:colOff>
                    <xdr:row>20</xdr:row>
                    <xdr:rowOff>76200</xdr:rowOff>
                  </from>
                  <to>
                    <xdr:col>26</xdr:col>
                    <xdr:colOff>219075</xdr:colOff>
                    <xdr:row>33</xdr:row>
                    <xdr:rowOff>142875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Лист1"/>
  <dimension ref="A1:CJ1145"/>
  <sheetViews>
    <sheetView tabSelected="1" topLeftCell="A7" workbookViewId="0">
      <selection activeCell="L28" sqref="L28"/>
    </sheetView>
  </sheetViews>
  <sheetFormatPr defaultRowHeight="15" x14ac:dyDescent="0.25"/>
  <cols>
    <col min="4" max="4" width="10.28515625" bestFit="1" customWidth="1"/>
  </cols>
  <sheetData>
    <row r="1" spans="1:88" x14ac:dyDescent="0.25">
      <c r="A1" s="1" t="s">
        <v>10</v>
      </c>
      <c r="B1" s="1">
        <v>6</v>
      </c>
      <c r="C1" s="1">
        <v>6.1</v>
      </c>
      <c r="D1" s="1">
        <v>6.2</v>
      </c>
      <c r="E1" s="1">
        <v>6.3</v>
      </c>
      <c r="F1" s="1">
        <v>6.4</v>
      </c>
      <c r="G1" s="1">
        <v>6.5</v>
      </c>
      <c r="H1" s="1">
        <v>6.6</v>
      </c>
      <c r="I1" s="1">
        <v>6.7</v>
      </c>
      <c r="J1" s="1">
        <v>6.8</v>
      </c>
      <c r="K1" s="1">
        <v>6.9</v>
      </c>
      <c r="L1" s="1">
        <v>7</v>
      </c>
      <c r="M1" s="1">
        <v>7.1</v>
      </c>
      <c r="N1" s="1">
        <v>7.2</v>
      </c>
      <c r="O1" s="1">
        <v>7.3</v>
      </c>
      <c r="P1" s="1">
        <v>7.4</v>
      </c>
      <c r="Q1" s="6"/>
      <c r="S1" s="1" t="s">
        <v>10</v>
      </c>
      <c r="T1" s="1">
        <v>6</v>
      </c>
      <c r="U1" s="1">
        <v>6.1</v>
      </c>
      <c r="V1" s="1">
        <v>6.2</v>
      </c>
      <c r="W1" s="1">
        <v>6.3</v>
      </c>
      <c r="X1" s="1">
        <v>6.4</v>
      </c>
      <c r="Y1" s="1">
        <v>6.5</v>
      </c>
      <c r="Z1" s="1">
        <v>6.6</v>
      </c>
      <c r="AA1" s="1">
        <v>6.7</v>
      </c>
      <c r="AB1" s="1">
        <v>6.8</v>
      </c>
      <c r="AC1" s="1">
        <v>6.9</v>
      </c>
      <c r="AD1" s="1">
        <v>7</v>
      </c>
      <c r="AE1" s="1">
        <v>7.1</v>
      </c>
      <c r="AF1" s="1">
        <v>7.2</v>
      </c>
      <c r="AG1" s="1">
        <v>7.3</v>
      </c>
      <c r="AH1" s="1">
        <v>7.4</v>
      </c>
      <c r="AI1" s="6"/>
      <c r="AK1" s="1" t="s">
        <v>10</v>
      </c>
      <c r="AL1" s="1">
        <v>6</v>
      </c>
      <c r="AM1" s="1">
        <v>6.1</v>
      </c>
      <c r="AN1" s="1">
        <v>6.2</v>
      </c>
      <c r="AO1" s="1">
        <v>6.3</v>
      </c>
      <c r="AP1" s="1">
        <v>6.4</v>
      </c>
      <c r="AQ1" s="1">
        <v>6.5</v>
      </c>
      <c r="AR1" s="1">
        <v>6.6</v>
      </c>
      <c r="AS1" s="1">
        <v>6.7</v>
      </c>
      <c r="AT1" s="1">
        <v>6.8</v>
      </c>
      <c r="AU1" s="1">
        <v>6.9</v>
      </c>
      <c r="AV1" s="1">
        <v>7</v>
      </c>
      <c r="AW1" s="1">
        <v>7.1</v>
      </c>
      <c r="AX1" s="1">
        <v>7.2</v>
      </c>
      <c r="AY1" s="1">
        <v>7.3</v>
      </c>
      <c r="AZ1" s="1">
        <v>7.4</v>
      </c>
      <c r="BA1" s="6"/>
      <c r="BC1" s="1" t="s">
        <v>10</v>
      </c>
      <c r="BD1" s="1">
        <v>6</v>
      </c>
      <c r="BE1" s="1">
        <v>6.1</v>
      </c>
      <c r="BF1" s="1">
        <v>6.2</v>
      </c>
      <c r="BG1" s="1">
        <v>6.3</v>
      </c>
      <c r="BH1" s="1">
        <v>6.4</v>
      </c>
      <c r="BI1" s="1">
        <v>6.5</v>
      </c>
      <c r="BJ1" s="1">
        <v>6.6</v>
      </c>
      <c r="BK1" s="1">
        <v>6.7</v>
      </c>
      <c r="BL1" s="1">
        <v>6.8</v>
      </c>
      <c r="BM1" s="1">
        <v>6.9</v>
      </c>
      <c r="BN1" s="1">
        <v>7</v>
      </c>
      <c r="BO1" s="1">
        <v>7.1</v>
      </c>
      <c r="BP1" s="1">
        <v>7.2</v>
      </c>
      <c r="BQ1" s="1">
        <v>7.3</v>
      </c>
      <c r="BR1" s="1">
        <v>7.4</v>
      </c>
      <c r="BS1" s="6"/>
      <c r="BU1" s="1" t="s">
        <v>10</v>
      </c>
      <c r="BV1" s="1">
        <v>6</v>
      </c>
      <c r="BW1" s="1">
        <v>6.1</v>
      </c>
      <c r="BX1" s="1">
        <v>6.2</v>
      </c>
      <c r="BY1" s="1">
        <v>6.3</v>
      </c>
      <c r="BZ1" s="1">
        <v>6.4</v>
      </c>
      <c r="CA1" s="1">
        <v>6.5</v>
      </c>
      <c r="CB1" s="1">
        <v>6.6</v>
      </c>
      <c r="CC1" s="1">
        <v>6.7</v>
      </c>
      <c r="CD1" s="1">
        <v>6.8</v>
      </c>
      <c r="CE1" s="1">
        <v>6.9</v>
      </c>
      <c r="CF1" s="1">
        <v>7</v>
      </c>
      <c r="CG1" s="1">
        <v>7.1</v>
      </c>
      <c r="CH1" s="1">
        <v>7.2</v>
      </c>
      <c r="CI1" s="1">
        <v>7.3</v>
      </c>
      <c r="CJ1" s="1">
        <v>7.4</v>
      </c>
    </row>
    <row r="2" spans="1:88" x14ac:dyDescent="0.25">
      <c r="A2" s="1">
        <v>20</v>
      </c>
      <c r="B2">
        <v>4.01</v>
      </c>
      <c r="C2">
        <v>4.08</v>
      </c>
      <c r="D2">
        <v>4.1500000000000004</v>
      </c>
      <c r="E2">
        <v>4.21</v>
      </c>
      <c r="F2">
        <v>4.2699999999999996</v>
      </c>
      <c r="G2">
        <v>4.34</v>
      </c>
      <c r="H2">
        <v>4.4000000000000004</v>
      </c>
      <c r="I2">
        <v>4.46</v>
      </c>
      <c r="J2">
        <v>4.53</v>
      </c>
      <c r="K2">
        <v>4.59</v>
      </c>
      <c r="L2">
        <v>4.66</v>
      </c>
      <c r="M2">
        <v>4.7300000000000004</v>
      </c>
      <c r="N2">
        <v>4.79</v>
      </c>
      <c r="O2">
        <v>4.8499999999999996</v>
      </c>
      <c r="P2">
        <v>4.91</v>
      </c>
      <c r="S2" s="1">
        <v>20</v>
      </c>
      <c r="T2">
        <v>3.26</v>
      </c>
      <c r="U2">
        <v>3.31</v>
      </c>
      <c r="V2">
        <v>3.36</v>
      </c>
      <c r="W2">
        <v>3.42</v>
      </c>
      <c r="X2">
        <v>3.47</v>
      </c>
      <c r="Y2">
        <v>3.52</v>
      </c>
      <c r="Z2">
        <v>3.57</v>
      </c>
      <c r="AA2">
        <v>3.62</v>
      </c>
      <c r="AB2">
        <v>3.68</v>
      </c>
      <c r="AC2">
        <v>3.73</v>
      </c>
      <c r="AD2">
        <v>3.78</v>
      </c>
      <c r="AE2">
        <v>3.83</v>
      </c>
      <c r="AF2">
        <v>3.88</v>
      </c>
      <c r="AG2">
        <v>3.93</v>
      </c>
      <c r="AH2">
        <v>3.98</v>
      </c>
      <c r="AK2" s="1">
        <v>20</v>
      </c>
      <c r="AL2">
        <v>2.54</v>
      </c>
      <c r="AM2">
        <v>2.57</v>
      </c>
      <c r="AN2">
        <v>2.61</v>
      </c>
      <c r="AO2">
        <v>2.65</v>
      </c>
      <c r="AP2">
        <v>2.69</v>
      </c>
      <c r="AQ2">
        <v>2.73</v>
      </c>
      <c r="AR2">
        <v>2.77</v>
      </c>
      <c r="AS2">
        <v>2.81</v>
      </c>
      <c r="AT2">
        <v>2.85</v>
      </c>
      <c r="AU2">
        <v>2.89</v>
      </c>
      <c r="AV2">
        <v>2.93</v>
      </c>
      <c r="AW2">
        <v>2.97</v>
      </c>
      <c r="AX2">
        <v>3.01</v>
      </c>
      <c r="AY2">
        <v>3.05</v>
      </c>
      <c r="AZ2">
        <v>3.09</v>
      </c>
      <c r="BC2" s="1">
        <v>20</v>
      </c>
      <c r="BD2">
        <v>1.75</v>
      </c>
      <c r="BE2">
        <v>1.75</v>
      </c>
      <c r="BF2">
        <v>2.11</v>
      </c>
      <c r="BG2">
        <v>2.12</v>
      </c>
      <c r="BH2">
        <v>2.13</v>
      </c>
      <c r="BI2">
        <v>2.14</v>
      </c>
      <c r="BJ2">
        <v>2.16</v>
      </c>
      <c r="BK2">
        <v>2.1800000000000002</v>
      </c>
      <c r="BL2">
        <v>2.2000000000000002</v>
      </c>
      <c r="BM2">
        <v>2.23</v>
      </c>
      <c r="BN2">
        <v>2.31</v>
      </c>
      <c r="BO2">
        <v>2.31</v>
      </c>
      <c r="BP2">
        <v>2.31</v>
      </c>
      <c r="BQ2">
        <v>2.78</v>
      </c>
      <c r="BR2">
        <v>2.81</v>
      </c>
      <c r="BU2" s="1">
        <v>20</v>
      </c>
      <c r="BV2" s="2">
        <v>1.32</v>
      </c>
      <c r="BW2" s="2">
        <v>1.32</v>
      </c>
      <c r="BX2" s="2">
        <v>1.32</v>
      </c>
      <c r="BY2" s="2">
        <v>1.32</v>
      </c>
      <c r="BZ2" s="2">
        <v>1.32</v>
      </c>
      <c r="CA2" s="2">
        <v>1.32</v>
      </c>
      <c r="CB2" s="2">
        <v>1.32</v>
      </c>
      <c r="CC2" s="2">
        <v>1.32</v>
      </c>
      <c r="CD2" s="2">
        <v>1.88</v>
      </c>
      <c r="CE2" s="2">
        <v>1.88</v>
      </c>
      <c r="CF2" s="2">
        <v>2.0699999999999998</v>
      </c>
      <c r="CG2" s="2">
        <v>2.0699999999999998</v>
      </c>
      <c r="CH2" s="2">
        <v>2.0699999999999998</v>
      </c>
      <c r="CI2" s="2">
        <v>2.0699999999999998</v>
      </c>
      <c r="CJ2" s="2">
        <v>2.08</v>
      </c>
    </row>
    <row r="3" spans="1:88" x14ac:dyDescent="0.25">
      <c r="A3" s="1">
        <v>25</v>
      </c>
      <c r="B3">
        <v>4.01</v>
      </c>
      <c r="C3">
        <v>4.08</v>
      </c>
      <c r="D3">
        <v>4.1500000000000004</v>
      </c>
      <c r="E3">
        <v>4.21</v>
      </c>
      <c r="F3">
        <v>4.2699999999999996</v>
      </c>
      <c r="G3">
        <v>4.34</v>
      </c>
      <c r="H3">
        <v>4.4000000000000004</v>
      </c>
      <c r="I3">
        <v>4.46</v>
      </c>
      <c r="J3">
        <v>4.53</v>
      </c>
      <c r="K3">
        <v>4.59</v>
      </c>
      <c r="L3">
        <v>4.66</v>
      </c>
      <c r="M3">
        <v>4.7300000000000004</v>
      </c>
      <c r="N3">
        <v>4.79</v>
      </c>
      <c r="O3">
        <v>4.8499999999999996</v>
      </c>
      <c r="P3">
        <v>4.91</v>
      </c>
      <c r="S3" s="1">
        <v>25</v>
      </c>
      <c r="T3">
        <v>3.26</v>
      </c>
      <c r="U3">
        <v>3.31</v>
      </c>
      <c r="V3">
        <v>3.36</v>
      </c>
      <c r="W3">
        <v>3.42</v>
      </c>
      <c r="X3">
        <v>3.47</v>
      </c>
      <c r="Y3">
        <v>3.52</v>
      </c>
      <c r="Z3">
        <v>3.57</v>
      </c>
      <c r="AA3">
        <v>3.62</v>
      </c>
      <c r="AB3">
        <v>3.68</v>
      </c>
      <c r="AC3">
        <v>3.73</v>
      </c>
      <c r="AD3">
        <v>3.78</v>
      </c>
      <c r="AE3">
        <v>3.83</v>
      </c>
      <c r="AF3">
        <v>3.88</v>
      </c>
      <c r="AG3">
        <v>3.93</v>
      </c>
      <c r="AH3">
        <v>3.98</v>
      </c>
      <c r="AK3" s="1">
        <v>25</v>
      </c>
      <c r="AL3">
        <v>2.54</v>
      </c>
      <c r="AM3">
        <v>2.57</v>
      </c>
      <c r="AN3">
        <v>2.61</v>
      </c>
      <c r="AO3">
        <v>2.65</v>
      </c>
      <c r="AP3">
        <v>2.69</v>
      </c>
      <c r="AQ3">
        <v>2.73</v>
      </c>
      <c r="AR3">
        <v>2.77</v>
      </c>
      <c r="AS3">
        <v>2.81</v>
      </c>
      <c r="AT3">
        <v>2.85</v>
      </c>
      <c r="AU3">
        <v>2.89</v>
      </c>
      <c r="AV3">
        <v>2.93</v>
      </c>
      <c r="AW3">
        <v>2.97</v>
      </c>
      <c r="AX3">
        <v>3.01</v>
      </c>
      <c r="AY3">
        <v>3.05</v>
      </c>
      <c r="AZ3">
        <v>3.09</v>
      </c>
      <c r="BC3" s="1">
        <v>25</v>
      </c>
      <c r="BD3">
        <v>1.75</v>
      </c>
      <c r="BE3">
        <v>1.75</v>
      </c>
      <c r="BF3">
        <v>2.11</v>
      </c>
      <c r="BG3">
        <v>2.12</v>
      </c>
      <c r="BH3">
        <v>2.13</v>
      </c>
      <c r="BI3">
        <v>2.14</v>
      </c>
      <c r="BJ3">
        <v>2.16</v>
      </c>
      <c r="BK3">
        <v>2.1800000000000002</v>
      </c>
      <c r="BL3">
        <v>2.2000000000000002</v>
      </c>
      <c r="BM3">
        <v>2.23</v>
      </c>
      <c r="BN3">
        <v>2.31</v>
      </c>
      <c r="BO3">
        <v>2.31</v>
      </c>
      <c r="BP3">
        <v>2.31</v>
      </c>
      <c r="BQ3">
        <v>2.78</v>
      </c>
      <c r="BR3">
        <v>2.81</v>
      </c>
      <c r="BU3" s="1">
        <v>25</v>
      </c>
      <c r="BV3" s="2">
        <v>1.63</v>
      </c>
      <c r="BW3" s="2">
        <v>1.63</v>
      </c>
      <c r="BX3" s="2">
        <v>1.63</v>
      </c>
      <c r="BY3" s="2">
        <v>1.68</v>
      </c>
      <c r="BZ3" s="2">
        <v>1.68</v>
      </c>
      <c r="CA3" s="2">
        <v>1.68</v>
      </c>
      <c r="CB3" s="2">
        <v>1.68</v>
      </c>
      <c r="CC3" s="2">
        <v>1.68</v>
      </c>
      <c r="CD3" s="2">
        <v>1.88</v>
      </c>
      <c r="CE3" s="2">
        <v>1.88</v>
      </c>
      <c r="CF3" s="2">
        <v>2.0699999999999998</v>
      </c>
      <c r="CG3" s="2">
        <v>2.0699999999999998</v>
      </c>
      <c r="CH3" s="2">
        <v>2.0699999999999998</v>
      </c>
      <c r="CI3" s="2">
        <v>2.0699999999999998</v>
      </c>
      <c r="CJ3" s="2">
        <v>2.08</v>
      </c>
    </row>
    <row r="4" spans="1:88" x14ac:dyDescent="0.25">
      <c r="A4" s="1">
        <v>35</v>
      </c>
      <c r="B4">
        <v>4.01</v>
      </c>
      <c r="C4">
        <v>4.08</v>
      </c>
      <c r="D4">
        <v>4.1500000000000004</v>
      </c>
      <c r="E4">
        <v>4.21</v>
      </c>
      <c r="F4">
        <v>4.2699999999999996</v>
      </c>
      <c r="G4">
        <v>4.34</v>
      </c>
      <c r="H4">
        <v>4.4000000000000004</v>
      </c>
      <c r="I4">
        <v>4.46</v>
      </c>
      <c r="J4">
        <v>4.53</v>
      </c>
      <c r="K4">
        <v>4.59</v>
      </c>
      <c r="L4">
        <v>4.66</v>
      </c>
      <c r="M4">
        <v>4.7300000000000004</v>
      </c>
      <c r="N4">
        <v>4.79</v>
      </c>
      <c r="O4">
        <v>4.8499999999999996</v>
      </c>
      <c r="P4">
        <v>4.91</v>
      </c>
      <c r="S4" s="1">
        <v>30</v>
      </c>
      <c r="T4">
        <v>3.26</v>
      </c>
      <c r="U4">
        <v>3.31</v>
      </c>
      <c r="V4">
        <v>3.36</v>
      </c>
      <c r="W4">
        <v>3.42</v>
      </c>
      <c r="X4">
        <v>3.47</v>
      </c>
      <c r="Y4">
        <v>3.52</v>
      </c>
      <c r="Z4">
        <v>3.57</v>
      </c>
      <c r="AA4">
        <v>3.62</v>
      </c>
      <c r="AB4">
        <v>3.68</v>
      </c>
      <c r="AC4">
        <v>3.73</v>
      </c>
      <c r="AD4">
        <v>3.78</v>
      </c>
      <c r="AE4">
        <v>3.83</v>
      </c>
      <c r="AF4">
        <v>3.88</v>
      </c>
      <c r="AG4">
        <v>3.93</v>
      </c>
      <c r="AH4">
        <v>3.98</v>
      </c>
      <c r="AK4" s="1">
        <v>30</v>
      </c>
      <c r="AL4">
        <v>2.54</v>
      </c>
      <c r="AM4">
        <v>2.57</v>
      </c>
      <c r="AN4">
        <v>2.61</v>
      </c>
      <c r="AO4">
        <v>2.65</v>
      </c>
      <c r="AP4">
        <v>2.69</v>
      </c>
      <c r="AQ4">
        <v>2.73</v>
      </c>
      <c r="AR4">
        <v>2.77</v>
      </c>
      <c r="AS4">
        <v>2.81</v>
      </c>
      <c r="AT4">
        <v>2.86</v>
      </c>
      <c r="AU4">
        <v>2.9</v>
      </c>
      <c r="AV4">
        <v>2.93</v>
      </c>
      <c r="AW4">
        <v>2.97</v>
      </c>
      <c r="AX4">
        <v>3.01</v>
      </c>
      <c r="AY4">
        <v>3.05</v>
      </c>
      <c r="AZ4">
        <v>3.09</v>
      </c>
      <c r="BC4" s="1">
        <v>30</v>
      </c>
      <c r="BD4">
        <v>2.17</v>
      </c>
      <c r="BE4">
        <v>2.1800000000000002</v>
      </c>
      <c r="BF4">
        <v>2.19</v>
      </c>
      <c r="BG4">
        <v>2.21</v>
      </c>
      <c r="BH4">
        <v>2.23</v>
      </c>
      <c r="BI4">
        <v>2.2999999999999998</v>
      </c>
      <c r="BJ4">
        <v>2.62</v>
      </c>
      <c r="BK4">
        <v>2.64</v>
      </c>
      <c r="BL4">
        <v>2.66</v>
      </c>
      <c r="BM4">
        <v>2.68</v>
      </c>
      <c r="BN4">
        <v>2.71</v>
      </c>
      <c r="BO4">
        <v>2.73</v>
      </c>
      <c r="BP4">
        <v>2.76</v>
      </c>
      <c r="BQ4">
        <v>2.78</v>
      </c>
      <c r="BR4">
        <v>2.81</v>
      </c>
      <c r="BU4" s="1">
        <v>30</v>
      </c>
      <c r="BV4" s="2">
        <v>1.81</v>
      </c>
      <c r="BW4" s="2">
        <v>1.91</v>
      </c>
      <c r="BX4" s="2">
        <v>1.91</v>
      </c>
      <c r="BY4" s="2">
        <v>2.0699999999999998</v>
      </c>
      <c r="BZ4" s="2">
        <v>2.0699999999999998</v>
      </c>
      <c r="CA4" s="2">
        <v>2.0699999999999998</v>
      </c>
      <c r="CB4" s="2">
        <v>2.0699999999999998</v>
      </c>
      <c r="CC4" s="2">
        <v>2.0699999999999998</v>
      </c>
      <c r="CD4" s="2">
        <v>2.0699999999999998</v>
      </c>
      <c r="CE4" s="2">
        <v>2.0699999999999998</v>
      </c>
      <c r="CF4" s="2">
        <v>2.0699999999999998</v>
      </c>
      <c r="CG4" s="2">
        <v>2.0699999999999998</v>
      </c>
      <c r="CH4" s="2">
        <v>2.0699999999999998</v>
      </c>
      <c r="CI4" s="2">
        <v>2.0699999999999998</v>
      </c>
      <c r="CJ4" s="2">
        <v>2.08</v>
      </c>
    </row>
    <row r="5" spans="1:88" x14ac:dyDescent="0.25">
      <c r="A5" s="1">
        <v>40</v>
      </c>
      <c r="B5">
        <v>4.01</v>
      </c>
      <c r="C5">
        <v>4.08</v>
      </c>
      <c r="D5">
        <v>4.1500000000000004</v>
      </c>
      <c r="E5">
        <v>4.21</v>
      </c>
      <c r="F5">
        <v>4.2699999999999996</v>
      </c>
      <c r="G5">
        <v>4.34</v>
      </c>
      <c r="H5">
        <v>4.4000000000000004</v>
      </c>
      <c r="I5">
        <v>4.46</v>
      </c>
      <c r="J5">
        <v>4.53</v>
      </c>
      <c r="K5">
        <v>4.59</v>
      </c>
      <c r="L5">
        <v>4.66</v>
      </c>
      <c r="M5">
        <v>4.7300000000000004</v>
      </c>
      <c r="N5">
        <v>4.79</v>
      </c>
      <c r="O5">
        <v>4.8499999999999996</v>
      </c>
      <c r="P5">
        <v>4.91</v>
      </c>
      <c r="S5" s="1">
        <v>35</v>
      </c>
      <c r="T5">
        <v>3.26</v>
      </c>
      <c r="U5">
        <v>3.31</v>
      </c>
      <c r="V5">
        <v>3.36</v>
      </c>
      <c r="W5">
        <v>3.42</v>
      </c>
      <c r="X5">
        <v>3.47</v>
      </c>
      <c r="Y5">
        <v>3.52</v>
      </c>
      <c r="Z5">
        <v>3.58</v>
      </c>
      <c r="AA5">
        <v>3.62</v>
      </c>
      <c r="AB5">
        <v>3.68</v>
      </c>
      <c r="AC5">
        <v>3.73</v>
      </c>
      <c r="AD5">
        <v>3.78</v>
      </c>
      <c r="AE5">
        <v>3.83</v>
      </c>
      <c r="AF5">
        <v>3.88</v>
      </c>
      <c r="AG5">
        <v>3.93</v>
      </c>
      <c r="AH5">
        <v>3.98</v>
      </c>
      <c r="AK5" s="1">
        <v>35</v>
      </c>
      <c r="AL5">
        <v>2.54</v>
      </c>
      <c r="AM5">
        <v>2.57</v>
      </c>
      <c r="AN5">
        <v>2.61</v>
      </c>
      <c r="AO5">
        <v>2.65</v>
      </c>
      <c r="AP5">
        <v>2.69</v>
      </c>
      <c r="AQ5">
        <v>2.73</v>
      </c>
      <c r="AR5">
        <v>2.77</v>
      </c>
      <c r="AS5">
        <v>2.81</v>
      </c>
      <c r="AT5">
        <v>2.86</v>
      </c>
      <c r="AU5">
        <v>2.9</v>
      </c>
      <c r="AV5">
        <v>2.93</v>
      </c>
      <c r="AW5">
        <v>2.97</v>
      </c>
      <c r="AX5">
        <v>3.01</v>
      </c>
      <c r="AY5">
        <v>3.05</v>
      </c>
      <c r="AZ5">
        <v>3.09</v>
      </c>
      <c r="BC5" s="1">
        <v>35</v>
      </c>
      <c r="BD5">
        <v>2.17</v>
      </c>
      <c r="BE5">
        <v>2.1800000000000002</v>
      </c>
      <c r="BF5">
        <v>2.19</v>
      </c>
      <c r="BG5">
        <v>2.21</v>
      </c>
      <c r="BH5">
        <v>2.23</v>
      </c>
      <c r="BI5">
        <v>2.2999999999999998</v>
      </c>
      <c r="BJ5">
        <v>2.62</v>
      </c>
      <c r="BK5">
        <v>2.64</v>
      </c>
      <c r="BL5">
        <v>2.66</v>
      </c>
      <c r="BM5">
        <v>2.68</v>
      </c>
      <c r="BN5">
        <v>2.71</v>
      </c>
      <c r="BO5">
        <v>2.76</v>
      </c>
      <c r="BP5">
        <v>2.76</v>
      </c>
      <c r="BQ5">
        <v>2.78</v>
      </c>
      <c r="BR5">
        <v>2.81</v>
      </c>
      <c r="BU5" s="1">
        <v>35</v>
      </c>
      <c r="BV5" s="2">
        <v>1.81</v>
      </c>
      <c r="BW5" s="2">
        <v>1.91</v>
      </c>
      <c r="BX5" s="2">
        <v>1.91</v>
      </c>
      <c r="BY5" s="2">
        <v>2.0699999999999998</v>
      </c>
      <c r="BZ5" s="2">
        <v>2.0699999999999998</v>
      </c>
      <c r="CA5" s="2">
        <v>2.0699999999999998</v>
      </c>
      <c r="CB5" s="2">
        <v>2.0699999999999998</v>
      </c>
      <c r="CC5" s="2">
        <v>2.08</v>
      </c>
      <c r="CD5" s="2">
        <v>2.08</v>
      </c>
      <c r="CE5" s="2">
        <v>2.08</v>
      </c>
      <c r="CF5" s="2">
        <v>2.08</v>
      </c>
      <c r="CG5" s="2">
        <v>2.08</v>
      </c>
      <c r="CH5" s="2">
        <v>2.08</v>
      </c>
      <c r="CI5" s="2">
        <v>2.08</v>
      </c>
      <c r="CJ5" s="2">
        <v>2.08</v>
      </c>
    </row>
    <row r="6" spans="1:88" x14ac:dyDescent="0.25">
      <c r="A6" s="1">
        <v>45</v>
      </c>
      <c r="B6">
        <v>4.01</v>
      </c>
      <c r="C6">
        <v>4.08</v>
      </c>
      <c r="D6">
        <v>4.1500000000000004</v>
      </c>
      <c r="E6">
        <v>4.21</v>
      </c>
      <c r="F6">
        <v>4.2699999999999996</v>
      </c>
      <c r="G6">
        <v>4.34</v>
      </c>
      <c r="H6">
        <v>4.4000000000000004</v>
      </c>
      <c r="I6">
        <v>4.46</v>
      </c>
      <c r="J6">
        <v>4.53</v>
      </c>
      <c r="K6">
        <v>4.59</v>
      </c>
      <c r="L6">
        <v>4.66</v>
      </c>
      <c r="M6">
        <v>4.7300000000000004</v>
      </c>
      <c r="N6">
        <v>4.79</v>
      </c>
      <c r="O6">
        <v>4.8499999999999996</v>
      </c>
      <c r="P6">
        <v>4.91</v>
      </c>
      <c r="S6" s="1">
        <v>40</v>
      </c>
      <c r="T6">
        <v>3.26</v>
      </c>
      <c r="U6">
        <v>3.31</v>
      </c>
      <c r="V6">
        <v>3.36</v>
      </c>
      <c r="W6">
        <v>3.42</v>
      </c>
      <c r="X6">
        <v>3.47</v>
      </c>
      <c r="Y6">
        <v>3.52</v>
      </c>
      <c r="Z6">
        <v>3.58</v>
      </c>
      <c r="AA6">
        <v>3.62</v>
      </c>
      <c r="AB6">
        <v>3.68</v>
      </c>
      <c r="AC6">
        <v>3.74</v>
      </c>
      <c r="AD6">
        <v>3.78</v>
      </c>
      <c r="AE6">
        <v>3.84</v>
      </c>
      <c r="AF6">
        <v>3.88</v>
      </c>
      <c r="AG6">
        <v>3.93</v>
      </c>
      <c r="AH6">
        <v>3.98</v>
      </c>
      <c r="AK6" s="1">
        <v>40</v>
      </c>
      <c r="AL6">
        <v>2.54</v>
      </c>
      <c r="AM6">
        <v>2.57</v>
      </c>
      <c r="AN6">
        <v>2.61</v>
      </c>
      <c r="AO6">
        <v>2.65</v>
      </c>
      <c r="AP6">
        <v>2.69</v>
      </c>
      <c r="AQ6">
        <v>2.73</v>
      </c>
      <c r="AR6">
        <v>2.77</v>
      </c>
      <c r="AS6">
        <v>2.81</v>
      </c>
      <c r="AT6">
        <v>2.86</v>
      </c>
      <c r="AU6">
        <v>2.9</v>
      </c>
      <c r="AV6">
        <v>2.94</v>
      </c>
      <c r="AW6">
        <v>2.98</v>
      </c>
      <c r="AX6">
        <v>3.01</v>
      </c>
      <c r="AY6">
        <v>3.05</v>
      </c>
      <c r="AZ6">
        <v>3.09</v>
      </c>
      <c r="BC6" s="1">
        <v>40</v>
      </c>
      <c r="BD6">
        <v>2.2200000000000002</v>
      </c>
      <c r="BE6">
        <v>2.2599999999999998</v>
      </c>
      <c r="BF6">
        <v>2.2599999999999998</v>
      </c>
      <c r="BG6">
        <v>2.2799999999999998</v>
      </c>
      <c r="BH6">
        <v>2.3199999999999998</v>
      </c>
      <c r="BI6">
        <v>2.3199999999999998</v>
      </c>
      <c r="BJ6">
        <v>2.62</v>
      </c>
      <c r="BK6">
        <v>2.64</v>
      </c>
      <c r="BL6">
        <v>2.66</v>
      </c>
      <c r="BM6">
        <v>2.68</v>
      </c>
      <c r="BN6">
        <v>2.71</v>
      </c>
      <c r="BO6">
        <v>2.76</v>
      </c>
      <c r="BP6">
        <v>2.76</v>
      </c>
      <c r="BQ6">
        <v>2.78</v>
      </c>
      <c r="BR6">
        <v>2.81</v>
      </c>
      <c r="BU6" s="1">
        <v>40</v>
      </c>
      <c r="BV6" s="2">
        <v>1.81</v>
      </c>
      <c r="BW6" s="2">
        <v>1.91</v>
      </c>
      <c r="BX6" s="2">
        <v>1.91</v>
      </c>
      <c r="BY6" s="2">
        <v>2.0699999999999998</v>
      </c>
      <c r="BZ6" s="2">
        <v>2.0699999999999998</v>
      </c>
      <c r="CA6" s="2">
        <v>2.0699999999999998</v>
      </c>
      <c r="CB6" s="2">
        <v>2.0699999999999998</v>
      </c>
      <c r="CC6" s="2">
        <v>2.08</v>
      </c>
      <c r="CD6" s="2">
        <v>2.08</v>
      </c>
      <c r="CE6" s="2">
        <v>2.08</v>
      </c>
      <c r="CF6" s="2">
        <v>2.08</v>
      </c>
      <c r="CG6" s="2">
        <v>2.08</v>
      </c>
      <c r="CH6" s="2">
        <v>2.08</v>
      </c>
      <c r="CI6" s="2">
        <v>2.08</v>
      </c>
      <c r="CJ6" s="2">
        <v>2.08</v>
      </c>
    </row>
    <row r="7" spans="1:88" x14ac:dyDescent="0.25">
      <c r="A7" s="1">
        <v>50</v>
      </c>
      <c r="B7">
        <v>4.01</v>
      </c>
      <c r="C7">
        <v>4.08</v>
      </c>
      <c r="D7">
        <v>4.1500000000000004</v>
      </c>
      <c r="E7">
        <v>4.21</v>
      </c>
      <c r="F7">
        <v>4.2699999999999996</v>
      </c>
      <c r="G7">
        <v>4.34</v>
      </c>
      <c r="H7">
        <v>4.4000000000000004</v>
      </c>
      <c r="I7">
        <v>4.46</v>
      </c>
      <c r="J7">
        <v>4.53</v>
      </c>
      <c r="K7">
        <v>4.59</v>
      </c>
      <c r="L7">
        <v>4.66</v>
      </c>
      <c r="M7">
        <v>4.7300000000000004</v>
      </c>
      <c r="N7">
        <v>4.79</v>
      </c>
      <c r="O7">
        <v>4.8499999999999996</v>
      </c>
      <c r="P7">
        <v>4.91</v>
      </c>
      <c r="S7" s="1">
        <v>45</v>
      </c>
      <c r="T7">
        <v>3.27</v>
      </c>
      <c r="U7">
        <v>3.33</v>
      </c>
      <c r="V7">
        <v>3.37</v>
      </c>
      <c r="W7">
        <v>3.42</v>
      </c>
      <c r="X7">
        <v>3.47</v>
      </c>
      <c r="Y7">
        <v>3.52</v>
      </c>
      <c r="Z7">
        <v>3.58</v>
      </c>
      <c r="AA7">
        <v>3.62</v>
      </c>
      <c r="AB7">
        <v>3.68</v>
      </c>
      <c r="AC7">
        <v>3.74</v>
      </c>
      <c r="AD7">
        <v>3.78</v>
      </c>
      <c r="AE7">
        <v>3.86</v>
      </c>
      <c r="AF7">
        <v>3.88</v>
      </c>
      <c r="AG7">
        <v>3.93</v>
      </c>
      <c r="AH7">
        <v>3.98</v>
      </c>
      <c r="AK7" s="1">
        <v>45</v>
      </c>
      <c r="AL7">
        <v>2.54</v>
      </c>
      <c r="AM7">
        <v>2.57</v>
      </c>
      <c r="AN7">
        <v>2.61</v>
      </c>
      <c r="AO7">
        <v>2.66</v>
      </c>
      <c r="AP7">
        <v>2.7</v>
      </c>
      <c r="AQ7">
        <v>2.73</v>
      </c>
      <c r="AR7">
        <v>2.77</v>
      </c>
      <c r="AS7">
        <v>2.81</v>
      </c>
      <c r="AT7">
        <v>2.86</v>
      </c>
      <c r="AU7">
        <v>2.9</v>
      </c>
      <c r="AV7">
        <v>2.94</v>
      </c>
      <c r="AW7">
        <v>2.98</v>
      </c>
      <c r="AX7">
        <v>3.01</v>
      </c>
      <c r="AY7">
        <v>3.05</v>
      </c>
      <c r="AZ7">
        <v>3.09</v>
      </c>
      <c r="BC7" s="1">
        <v>45</v>
      </c>
      <c r="BD7">
        <v>2.2200000000000002</v>
      </c>
      <c r="BE7">
        <v>2.2599999999999998</v>
      </c>
      <c r="BF7">
        <v>2.2599999999999998</v>
      </c>
      <c r="BG7">
        <v>2.2799999999999998</v>
      </c>
      <c r="BH7">
        <v>2.3199999999999998</v>
      </c>
      <c r="BI7">
        <v>2.3199999999999998</v>
      </c>
      <c r="BJ7">
        <v>2.62</v>
      </c>
      <c r="BK7">
        <v>2.64</v>
      </c>
      <c r="BL7">
        <v>2.66</v>
      </c>
      <c r="BM7">
        <v>2.68</v>
      </c>
      <c r="BN7">
        <v>2.76</v>
      </c>
      <c r="BO7">
        <v>2.76</v>
      </c>
      <c r="BP7">
        <v>2.76</v>
      </c>
      <c r="BQ7">
        <v>3.03</v>
      </c>
      <c r="BR7">
        <v>3.03</v>
      </c>
      <c r="BU7" s="1">
        <v>45</v>
      </c>
      <c r="BV7" s="2">
        <v>1.81</v>
      </c>
      <c r="BW7" s="2">
        <v>2.02</v>
      </c>
      <c r="BX7" s="2">
        <v>2.02</v>
      </c>
      <c r="BY7" s="2">
        <v>2.0699999999999998</v>
      </c>
      <c r="BZ7" s="2">
        <v>2.0699999999999998</v>
      </c>
      <c r="CA7" s="2">
        <v>2.0699999999999998</v>
      </c>
      <c r="CB7" s="2">
        <v>2.0699999999999998</v>
      </c>
      <c r="CC7" s="2">
        <v>2.08</v>
      </c>
      <c r="CD7" s="2">
        <v>2.08</v>
      </c>
      <c r="CE7" s="2">
        <v>2.08</v>
      </c>
      <c r="CF7" s="2">
        <v>2.08</v>
      </c>
      <c r="CG7" s="2">
        <v>2.08</v>
      </c>
      <c r="CH7" s="2">
        <v>2.08</v>
      </c>
      <c r="CI7" s="2">
        <v>2.08</v>
      </c>
      <c r="CJ7" s="2">
        <v>2.08</v>
      </c>
    </row>
    <row r="8" spans="1:88" x14ac:dyDescent="0.25">
      <c r="A8" s="1">
        <v>55</v>
      </c>
      <c r="B8">
        <v>4.01</v>
      </c>
      <c r="C8">
        <v>4.08</v>
      </c>
      <c r="D8">
        <v>4.1500000000000004</v>
      </c>
      <c r="E8">
        <v>4.21</v>
      </c>
      <c r="F8">
        <v>4.2699999999999996</v>
      </c>
      <c r="G8">
        <v>4.34</v>
      </c>
      <c r="H8">
        <v>4.4000000000000004</v>
      </c>
      <c r="I8">
        <v>4.46</v>
      </c>
      <c r="J8">
        <v>4.53</v>
      </c>
      <c r="K8">
        <v>4.59</v>
      </c>
      <c r="L8">
        <v>4.66</v>
      </c>
      <c r="M8">
        <v>4.7300000000000004</v>
      </c>
      <c r="N8">
        <v>4.79</v>
      </c>
      <c r="O8">
        <v>4.8499999999999996</v>
      </c>
      <c r="P8">
        <v>4.91</v>
      </c>
      <c r="S8" s="1">
        <v>50</v>
      </c>
      <c r="T8">
        <v>3.27</v>
      </c>
      <c r="U8">
        <v>3.33</v>
      </c>
      <c r="V8">
        <v>3.37</v>
      </c>
      <c r="W8">
        <v>3.48</v>
      </c>
      <c r="X8">
        <v>3.48</v>
      </c>
      <c r="Y8">
        <v>3.52</v>
      </c>
      <c r="Z8">
        <v>3.58</v>
      </c>
      <c r="AA8">
        <v>3.63</v>
      </c>
      <c r="AB8">
        <v>3.69</v>
      </c>
      <c r="AC8">
        <v>3.74</v>
      </c>
      <c r="AD8">
        <v>3.79</v>
      </c>
      <c r="AE8">
        <v>3.86</v>
      </c>
      <c r="AF8">
        <v>3.88</v>
      </c>
      <c r="AG8">
        <v>3.93</v>
      </c>
      <c r="AH8">
        <v>3.98</v>
      </c>
      <c r="AK8" s="1">
        <v>50</v>
      </c>
      <c r="AL8">
        <v>2.54</v>
      </c>
      <c r="AM8">
        <v>2.57</v>
      </c>
      <c r="AN8">
        <v>2.61</v>
      </c>
      <c r="AO8">
        <v>2.66</v>
      </c>
      <c r="AP8">
        <v>2.7</v>
      </c>
      <c r="AQ8">
        <v>2.73</v>
      </c>
      <c r="AR8">
        <v>2.77</v>
      </c>
      <c r="AS8">
        <v>2.81</v>
      </c>
      <c r="AT8">
        <v>2.86</v>
      </c>
      <c r="AU8">
        <v>2.9</v>
      </c>
      <c r="AV8">
        <v>2.94</v>
      </c>
      <c r="AW8">
        <v>2.98</v>
      </c>
      <c r="AX8">
        <v>3.02</v>
      </c>
      <c r="AY8">
        <v>3.05</v>
      </c>
      <c r="AZ8">
        <v>3.1</v>
      </c>
      <c r="BC8" s="1">
        <v>50</v>
      </c>
      <c r="BD8">
        <v>2.2599999999999998</v>
      </c>
      <c r="BE8">
        <v>2.2799999999999998</v>
      </c>
      <c r="BF8">
        <v>2.36</v>
      </c>
      <c r="BG8">
        <v>2.36</v>
      </c>
      <c r="BH8">
        <v>2.57</v>
      </c>
      <c r="BI8">
        <v>2.59</v>
      </c>
      <c r="BJ8">
        <v>2.62</v>
      </c>
      <c r="BK8">
        <v>2.64</v>
      </c>
      <c r="BL8">
        <v>2.66</v>
      </c>
      <c r="BM8">
        <v>2.68</v>
      </c>
      <c r="BN8">
        <v>2.76</v>
      </c>
      <c r="BO8">
        <v>2.76</v>
      </c>
      <c r="BP8">
        <v>2.76</v>
      </c>
      <c r="BQ8">
        <v>3.03</v>
      </c>
      <c r="BR8">
        <v>3.03</v>
      </c>
      <c r="BU8" s="1">
        <v>50</v>
      </c>
      <c r="BV8" s="2">
        <v>1.81</v>
      </c>
      <c r="BW8" s="2">
        <v>2.02</v>
      </c>
      <c r="BX8" s="2">
        <v>2.02</v>
      </c>
      <c r="BY8" s="2">
        <v>2.08</v>
      </c>
      <c r="BZ8" s="2">
        <v>2.08</v>
      </c>
      <c r="CA8" s="2">
        <v>2.08</v>
      </c>
      <c r="CB8" s="2">
        <v>2.08</v>
      </c>
      <c r="CC8" s="2">
        <v>2.08</v>
      </c>
      <c r="CD8" s="2">
        <v>2.08</v>
      </c>
      <c r="CE8" s="2">
        <v>2.08</v>
      </c>
      <c r="CF8" s="2">
        <v>2.08</v>
      </c>
      <c r="CG8" s="2">
        <v>2.25</v>
      </c>
      <c r="CH8" s="2">
        <v>2.25</v>
      </c>
      <c r="CI8" s="2">
        <v>2.25</v>
      </c>
      <c r="CJ8" s="2">
        <v>2.25</v>
      </c>
    </row>
    <row r="9" spans="1:88" x14ac:dyDescent="0.25">
      <c r="A9" s="1">
        <v>60</v>
      </c>
      <c r="B9">
        <v>4.01</v>
      </c>
      <c r="C9">
        <v>4.08</v>
      </c>
      <c r="D9">
        <v>4.1500000000000004</v>
      </c>
      <c r="E9">
        <v>4.21</v>
      </c>
      <c r="F9">
        <v>4.2699999999999996</v>
      </c>
      <c r="G9">
        <v>4.34</v>
      </c>
      <c r="H9">
        <v>4.4000000000000004</v>
      </c>
      <c r="I9">
        <v>4.46</v>
      </c>
      <c r="J9">
        <v>4.53</v>
      </c>
      <c r="K9">
        <v>4.59</v>
      </c>
      <c r="L9">
        <v>4.66</v>
      </c>
      <c r="M9">
        <v>4.7300000000000004</v>
      </c>
      <c r="N9">
        <v>4.79</v>
      </c>
      <c r="O9">
        <v>4.8499999999999996</v>
      </c>
      <c r="P9">
        <v>4.91</v>
      </c>
      <c r="S9" s="1">
        <v>55</v>
      </c>
      <c r="T9">
        <v>3.27</v>
      </c>
      <c r="U9">
        <v>3.33</v>
      </c>
      <c r="V9">
        <v>3.37</v>
      </c>
      <c r="W9">
        <v>3.48</v>
      </c>
      <c r="X9">
        <v>3.48</v>
      </c>
      <c r="Y9">
        <v>3.52</v>
      </c>
      <c r="Z9">
        <v>3.58</v>
      </c>
      <c r="AA9">
        <v>3.63</v>
      </c>
      <c r="AB9">
        <v>3.69</v>
      </c>
      <c r="AC9">
        <v>3.74</v>
      </c>
      <c r="AD9">
        <v>3.79</v>
      </c>
      <c r="AE9">
        <v>3.86</v>
      </c>
      <c r="AF9">
        <v>3.9</v>
      </c>
      <c r="AG9">
        <v>3.95</v>
      </c>
      <c r="AH9">
        <v>4.01</v>
      </c>
      <c r="AK9" s="1">
        <v>55</v>
      </c>
      <c r="AL9">
        <v>2.57</v>
      </c>
      <c r="AM9">
        <v>2.57</v>
      </c>
      <c r="AN9">
        <v>2.61</v>
      </c>
      <c r="AO9">
        <v>2.66</v>
      </c>
      <c r="AP9">
        <v>2.7</v>
      </c>
      <c r="AQ9">
        <v>2.74</v>
      </c>
      <c r="AR9">
        <v>2.78</v>
      </c>
      <c r="AS9">
        <v>2.82</v>
      </c>
      <c r="AT9">
        <v>2.86</v>
      </c>
      <c r="AU9">
        <v>2.9</v>
      </c>
      <c r="AV9">
        <v>2.94</v>
      </c>
      <c r="AW9">
        <v>2.98</v>
      </c>
      <c r="AX9">
        <v>3.02</v>
      </c>
      <c r="AY9">
        <v>3.05</v>
      </c>
      <c r="AZ9">
        <v>3.1</v>
      </c>
      <c r="BC9" s="1">
        <v>55</v>
      </c>
      <c r="BD9">
        <v>2.2599999999999998</v>
      </c>
      <c r="BE9">
        <v>2.2799999999999998</v>
      </c>
      <c r="BF9">
        <v>2.36</v>
      </c>
      <c r="BG9">
        <v>2.36</v>
      </c>
      <c r="BH9">
        <v>2.57</v>
      </c>
      <c r="BI9">
        <v>2.59</v>
      </c>
      <c r="BJ9">
        <v>2.62</v>
      </c>
      <c r="BK9">
        <v>2.68</v>
      </c>
      <c r="BL9">
        <v>2.68</v>
      </c>
      <c r="BM9">
        <v>2.68</v>
      </c>
      <c r="BN9">
        <v>2.88</v>
      </c>
      <c r="BO9">
        <v>2.95</v>
      </c>
      <c r="BP9">
        <v>2.95</v>
      </c>
      <c r="BQ9">
        <v>3.03</v>
      </c>
      <c r="BR9">
        <v>3.03</v>
      </c>
      <c r="BU9" s="1">
        <v>55</v>
      </c>
      <c r="BV9" s="2">
        <v>1.81</v>
      </c>
      <c r="BW9" s="2">
        <v>2.02</v>
      </c>
      <c r="BX9" s="2">
        <v>2.02</v>
      </c>
      <c r="BY9" s="2">
        <v>2.08</v>
      </c>
      <c r="BZ9" s="2">
        <v>2.08</v>
      </c>
      <c r="CA9" s="2">
        <v>2.08</v>
      </c>
      <c r="CB9" s="2">
        <v>2.08</v>
      </c>
      <c r="CC9" s="2">
        <v>2.08</v>
      </c>
      <c r="CD9" s="2">
        <v>2.08</v>
      </c>
      <c r="CE9" s="2">
        <v>2.08</v>
      </c>
      <c r="CF9" s="2">
        <v>2.08</v>
      </c>
      <c r="CG9" s="2">
        <v>2.25</v>
      </c>
      <c r="CH9" s="2">
        <v>2.25</v>
      </c>
      <c r="CI9" s="2">
        <v>2.25</v>
      </c>
      <c r="CJ9" s="2">
        <v>2.25</v>
      </c>
    </row>
    <row r="10" spans="1:88" x14ac:dyDescent="0.25">
      <c r="A10" s="1">
        <v>65</v>
      </c>
      <c r="B10">
        <v>4.01</v>
      </c>
      <c r="C10">
        <v>4.08</v>
      </c>
      <c r="D10">
        <v>4.1500000000000004</v>
      </c>
      <c r="E10">
        <v>4.21</v>
      </c>
      <c r="F10">
        <v>4.2699999999999996</v>
      </c>
      <c r="G10">
        <v>4.34</v>
      </c>
      <c r="H10">
        <v>4.4000000000000004</v>
      </c>
      <c r="I10">
        <v>4.46</v>
      </c>
      <c r="J10">
        <v>4.53</v>
      </c>
      <c r="K10">
        <v>4.59</v>
      </c>
      <c r="L10">
        <v>4.66</v>
      </c>
      <c r="M10">
        <v>4.7300000000000004</v>
      </c>
      <c r="N10">
        <v>4.79</v>
      </c>
      <c r="O10">
        <v>4.8499999999999996</v>
      </c>
      <c r="P10">
        <v>4.91</v>
      </c>
      <c r="S10" s="1">
        <v>60</v>
      </c>
      <c r="T10">
        <v>3.27</v>
      </c>
      <c r="U10">
        <v>3.33</v>
      </c>
      <c r="V10">
        <v>3.37</v>
      </c>
      <c r="W10">
        <v>3.48</v>
      </c>
      <c r="X10">
        <v>3.48</v>
      </c>
      <c r="Y10">
        <v>3.53</v>
      </c>
      <c r="Z10">
        <v>3.58</v>
      </c>
      <c r="AA10">
        <v>3.63</v>
      </c>
      <c r="AB10">
        <v>3.69</v>
      </c>
      <c r="AC10">
        <v>3.74</v>
      </c>
      <c r="AD10">
        <v>3.79</v>
      </c>
      <c r="AE10">
        <v>3.86</v>
      </c>
      <c r="AF10">
        <v>3.9</v>
      </c>
      <c r="AG10">
        <v>3.95</v>
      </c>
      <c r="AH10">
        <v>4.01</v>
      </c>
      <c r="AK10" s="1">
        <v>60</v>
      </c>
      <c r="AL10">
        <v>2.58</v>
      </c>
      <c r="AM10">
        <v>2.58</v>
      </c>
      <c r="AN10">
        <v>2.62</v>
      </c>
      <c r="AO10">
        <v>2.66</v>
      </c>
      <c r="AP10">
        <v>2.7</v>
      </c>
      <c r="AQ10">
        <v>2.74</v>
      </c>
      <c r="AR10">
        <v>2.78</v>
      </c>
      <c r="AS10">
        <v>2.82</v>
      </c>
      <c r="AT10">
        <v>2.86</v>
      </c>
      <c r="AU10">
        <v>2.9</v>
      </c>
      <c r="AV10">
        <v>2.94</v>
      </c>
      <c r="AW10">
        <v>2.98</v>
      </c>
      <c r="AX10">
        <v>3.02</v>
      </c>
      <c r="AY10">
        <v>3.06</v>
      </c>
      <c r="AZ10">
        <v>3.1</v>
      </c>
      <c r="BC10" s="1">
        <v>60</v>
      </c>
      <c r="BD10">
        <v>2.2999999999999998</v>
      </c>
      <c r="BE10">
        <v>2.3199999999999998</v>
      </c>
      <c r="BF10">
        <v>2.36</v>
      </c>
      <c r="BG10">
        <v>2.36</v>
      </c>
      <c r="BH10">
        <v>2.57</v>
      </c>
      <c r="BI10">
        <v>2.59</v>
      </c>
      <c r="BJ10">
        <v>2.62</v>
      </c>
      <c r="BK10">
        <v>2.68</v>
      </c>
      <c r="BL10">
        <v>2.68</v>
      </c>
      <c r="BM10">
        <v>2.68</v>
      </c>
      <c r="BN10">
        <v>2.88</v>
      </c>
      <c r="BO10">
        <v>2.95</v>
      </c>
      <c r="BP10">
        <v>2.95</v>
      </c>
      <c r="BQ10">
        <v>3.03</v>
      </c>
      <c r="BR10">
        <v>3.03</v>
      </c>
      <c r="BU10" s="1">
        <v>60</v>
      </c>
      <c r="BV10" s="2">
        <v>1.81</v>
      </c>
      <c r="BW10" s="2">
        <v>2.02</v>
      </c>
      <c r="BX10" s="2">
        <v>2.02</v>
      </c>
      <c r="BY10" s="2">
        <v>2.08</v>
      </c>
      <c r="BZ10" s="2">
        <v>2.08</v>
      </c>
      <c r="CA10" s="2">
        <v>2.08</v>
      </c>
      <c r="CB10" s="2">
        <v>2.08</v>
      </c>
      <c r="CC10" s="2">
        <v>2.08</v>
      </c>
      <c r="CD10" s="2">
        <v>2.08</v>
      </c>
      <c r="CE10" s="2">
        <v>2.08</v>
      </c>
      <c r="CF10" s="2">
        <v>2.08</v>
      </c>
      <c r="CG10" s="2">
        <v>2.25</v>
      </c>
      <c r="CH10" s="2">
        <v>2.25</v>
      </c>
      <c r="CI10" s="2">
        <v>2.25</v>
      </c>
      <c r="CJ10" s="2">
        <v>2.25</v>
      </c>
    </row>
    <row r="11" spans="1:88" x14ac:dyDescent="0.25">
      <c r="A11" s="1">
        <v>70</v>
      </c>
      <c r="B11">
        <v>4.01</v>
      </c>
      <c r="C11">
        <v>4.08</v>
      </c>
      <c r="D11">
        <v>4.1500000000000004</v>
      </c>
      <c r="E11">
        <v>4.21</v>
      </c>
      <c r="F11">
        <v>4.2699999999999996</v>
      </c>
      <c r="G11">
        <v>4.34</v>
      </c>
      <c r="H11">
        <v>4.4000000000000004</v>
      </c>
      <c r="I11">
        <v>4.46</v>
      </c>
      <c r="J11">
        <v>4.53</v>
      </c>
      <c r="K11">
        <v>4.59</v>
      </c>
      <c r="L11">
        <v>4.66</v>
      </c>
      <c r="M11">
        <v>4.7300000000000004</v>
      </c>
      <c r="N11">
        <v>4.79</v>
      </c>
      <c r="O11">
        <v>4.8499999999999996</v>
      </c>
      <c r="P11">
        <v>4.91</v>
      </c>
      <c r="S11" s="1">
        <v>65</v>
      </c>
      <c r="T11">
        <v>3.27</v>
      </c>
      <c r="U11">
        <v>3.33</v>
      </c>
      <c r="V11">
        <v>3.37</v>
      </c>
      <c r="W11">
        <v>3.48</v>
      </c>
      <c r="X11">
        <v>3.48</v>
      </c>
      <c r="Y11">
        <v>3.53</v>
      </c>
      <c r="Z11">
        <v>3.58</v>
      </c>
      <c r="AA11">
        <v>3.63</v>
      </c>
      <c r="AB11">
        <v>3.69</v>
      </c>
      <c r="AC11">
        <v>3.74</v>
      </c>
      <c r="AD11">
        <v>3.79</v>
      </c>
      <c r="AE11">
        <v>3.86</v>
      </c>
      <c r="AF11">
        <v>3.9</v>
      </c>
      <c r="AG11">
        <v>3.95</v>
      </c>
      <c r="AH11">
        <v>4.01</v>
      </c>
      <c r="AK11" s="1">
        <v>65</v>
      </c>
      <c r="AL11">
        <v>2.58</v>
      </c>
      <c r="AM11">
        <v>2.58</v>
      </c>
      <c r="AN11">
        <v>2.62</v>
      </c>
      <c r="AO11">
        <v>2.66</v>
      </c>
      <c r="AP11">
        <v>2.7</v>
      </c>
      <c r="AQ11">
        <v>2.74</v>
      </c>
      <c r="AR11">
        <v>2.78</v>
      </c>
      <c r="AS11">
        <v>2.82</v>
      </c>
      <c r="AT11">
        <v>2.86</v>
      </c>
      <c r="AU11">
        <v>2.9</v>
      </c>
      <c r="AV11">
        <v>2.94</v>
      </c>
      <c r="AW11">
        <v>2.98</v>
      </c>
      <c r="AX11">
        <v>3.02</v>
      </c>
      <c r="AY11">
        <v>3.06</v>
      </c>
      <c r="AZ11">
        <v>3.1</v>
      </c>
      <c r="BC11" s="1">
        <v>65</v>
      </c>
      <c r="BD11">
        <v>2.2999999999999998</v>
      </c>
      <c r="BE11">
        <v>2.3199999999999998</v>
      </c>
      <c r="BF11">
        <v>2.36</v>
      </c>
      <c r="BG11">
        <v>2.36</v>
      </c>
      <c r="BH11">
        <v>2.57</v>
      </c>
      <c r="BI11">
        <v>2.59</v>
      </c>
      <c r="BJ11">
        <v>2.62</v>
      </c>
      <c r="BK11">
        <v>2.81</v>
      </c>
      <c r="BL11">
        <v>2.81</v>
      </c>
      <c r="BM11">
        <v>2.88</v>
      </c>
      <c r="BN11">
        <v>2.88</v>
      </c>
      <c r="BO11">
        <v>2.95</v>
      </c>
      <c r="BP11">
        <v>2.95</v>
      </c>
      <c r="BQ11">
        <v>3.03</v>
      </c>
      <c r="BR11">
        <v>3.03</v>
      </c>
      <c r="BU11" s="1">
        <v>65</v>
      </c>
      <c r="BV11" s="2">
        <v>1.81</v>
      </c>
      <c r="BW11" s="2">
        <v>2.02</v>
      </c>
      <c r="BX11" s="2">
        <v>2.02</v>
      </c>
      <c r="BY11" s="2">
        <v>2.25</v>
      </c>
      <c r="BZ11" s="2">
        <v>2.25</v>
      </c>
      <c r="CA11" s="2">
        <v>2.25</v>
      </c>
      <c r="CB11" s="2">
        <v>2.25</v>
      </c>
      <c r="CC11" s="2">
        <v>2.25</v>
      </c>
      <c r="CD11" s="2">
        <v>2.25</v>
      </c>
      <c r="CE11" s="2">
        <v>2.25</v>
      </c>
      <c r="CF11" s="2">
        <v>2.25</v>
      </c>
      <c r="CG11" s="2">
        <v>2.25</v>
      </c>
      <c r="CH11" s="2">
        <v>2.25</v>
      </c>
      <c r="CI11" s="2">
        <v>2.25</v>
      </c>
      <c r="CJ11" s="2">
        <v>2.25</v>
      </c>
    </row>
    <row r="12" spans="1:88" x14ac:dyDescent="0.25">
      <c r="A12" s="1">
        <v>75</v>
      </c>
      <c r="B12">
        <v>4.01</v>
      </c>
      <c r="C12">
        <v>4.08</v>
      </c>
      <c r="D12">
        <v>4.1500000000000004</v>
      </c>
      <c r="E12">
        <v>4.21</v>
      </c>
      <c r="F12">
        <v>4.2699999999999996</v>
      </c>
      <c r="G12">
        <v>4.34</v>
      </c>
      <c r="H12">
        <v>4.4000000000000004</v>
      </c>
      <c r="I12">
        <v>4.46</v>
      </c>
      <c r="J12">
        <v>4.53</v>
      </c>
      <c r="K12">
        <v>4.59</v>
      </c>
      <c r="L12">
        <v>4.66</v>
      </c>
      <c r="M12">
        <v>4.7300000000000004</v>
      </c>
      <c r="N12">
        <v>4.79</v>
      </c>
      <c r="O12">
        <v>4.8499999999999996</v>
      </c>
      <c r="P12">
        <v>4.91</v>
      </c>
      <c r="S12" s="1">
        <v>70</v>
      </c>
      <c r="T12">
        <v>3.33</v>
      </c>
      <c r="U12">
        <v>3.33</v>
      </c>
      <c r="V12">
        <v>3.37</v>
      </c>
      <c r="W12">
        <v>3.48</v>
      </c>
      <c r="X12">
        <v>3.48</v>
      </c>
      <c r="Y12">
        <v>3.53</v>
      </c>
      <c r="Z12">
        <v>3.58</v>
      </c>
      <c r="AA12">
        <v>3.63</v>
      </c>
      <c r="AB12">
        <v>3.69</v>
      </c>
      <c r="AC12">
        <v>3.81</v>
      </c>
      <c r="AD12">
        <v>3.81</v>
      </c>
      <c r="AE12">
        <v>3.86</v>
      </c>
      <c r="AF12">
        <v>3.9</v>
      </c>
      <c r="AG12">
        <v>3.95</v>
      </c>
      <c r="AH12">
        <v>4.01</v>
      </c>
      <c r="AK12" s="1">
        <v>70</v>
      </c>
      <c r="AL12">
        <v>2.58</v>
      </c>
      <c r="AM12">
        <v>2.58</v>
      </c>
      <c r="AN12">
        <v>2.62</v>
      </c>
      <c r="AO12">
        <v>2.66</v>
      </c>
      <c r="AP12">
        <v>2.7</v>
      </c>
      <c r="AQ12">
        <v>2.74</v>
      </c>
      <c r="AR12">
        <v>2.78</v>
      </c>
      <c r="AS12">
        <v>2.82</v>
      </c>
      <c r="AT12">
        <v>2.86</v>
      </c>
      <c r="AU12">
        <v>2.9</v>
      </c>
      <c r="AV12">
        <v>2.96</v>
      </c>
      <c r="AW12">
        <v>2.98</v>
      </c>
      <c r="AX12">
        <v>3.03</v>
      </c>
      <c r="AY12">
        <v>3.06</v>
      </c>
      <c r="AZ12">
        <v>3.1</v>
      </c>
      <c r="BC12" s="1">
        <v>70</v>
      </c>
      <c r="BD12">
        <v>2.3199999999999998</v>
      </c>
      <c r="BE12">
        <v>2.36</v>
      </c>
      <c r="BF12">
        <v>2.36</v>
      </c>
      <c r="BG12">
        <v>2.5499999999999998</v>
      </c>
      <c r="BH12">
        <v>2.57</v>
      </c>
      <c r="BI12">
        <v>2.59</v>
      </c>
      <c r="BJ12">
        <v>2.62</v>
      </c>
      <c r="BK12">
        <v>2.81</v>
      </c>
      <c r="BL12">
        <v>2.81</v>
      </c>
      <c r="BM12">
        <v>2.88</v>
      </c>
      <c r="BN12">
        <v>2.88</v>
      </c>
      <c r="BO12">
        <v>2.95</v>
      </c>
      <c r="BP12">
        <v>2.95</v>
      </c>
      <c r="BQ12">
        <v>3.12</v>
      </c>
      <c r="BR12">
        <v>3.32</v>
      </c>
      <c r="BU12" s="1">
        <v>70</v>
      </c>
      <c r="BV12" s="2">
        <v>2.4500000000000002</v>
      </c>
      <c r="BW12" s="2">
        <v>2.4500000000000002</v>
      </c>
      <c r="BX12" s="2">
        <v>2.4500000000000002</v>
      </c>
      <c r="BY12" s="2">
        <v>2.4500000000000002</v>
      </c>
      <c r="BZ12" s="2">
        <v>2.4500000000000002</v>
      </c>
      <c r="CA12" s="2">
        <v>2.4500000000000002</v>
      </c>
      <c r="CB12" s="2">
        <v>2.4500000000000002</v>
      </c>
      <c r="CC12" s="2">
        <v>2.4500000000000002</v>
      </c>
      <c r="CD12" s="2">
        <v>2.4500000000000002</v>
      </c>
      <c r="CE12" s="2">
        <v>2.4500000000000002</v>
      </c>
      <c r="CF12" s="2">
        <v>2.4500000000000002</v>
      </c>
      <c r="CG12" s="2">
        <v>2.4500000000000002</v>
      </c>
      <c r="CH12" s="2">
        <v>2.4500000000000002</v>
      </c>
      <c r="CI12" s="2">
        <v>2.4500000000000002</v>
      </c>
      <c r="CJ12" s="2">
        <v>2.4500000000000002</v>
      </c>
    </row>
    <row r="13" spans="1:88" x14ac:dyDescent="0.25">
      <c r="A13" s="1">
        <v>80</v>
      </c>
      <c r="B13">
        <v>4.01</v>
      </c>
      <c r="C13">
        <v>4.08</v>
      </c>
      <c r="D13">
        <v>4.1500000000000004</v>
      </c>
      <c r="E13">
        <v>4.21</v>
      </c>
      <c r="F13">
        <v>4.2699999999999996</v>
      </c>
      <c r="G13">
        <v>4.34</v>
      </c>
      <c r="H13">
        <v>4.4000000000000004</v>
      </c>
      <c r="I13">
        <v>4.46</v>
      </c>
      <c r="J13">
        <v>4.53</v>
      </c>
      <c r="K13">
        <v>4.59</v>
      </c>
      <c r="L13">
        <v>4.66</v>
      </c>
      <c r="M13">
        <v>4.7300000000000004</v>
      </c>
      <c r="N13">
        <v>4.79</v>
      </c>
      <c r="O13">
        <v>4.8499999999999996</v>
      </c>
      <c r="P13">
        <v>4.91</v>
      </c>
      <c r="S13" s="1">
        <v>75</v>
      </c>
      <c r="T13">
        <v>3.35</v>
      </c>
      <c r="U13">
        <v>3.35</v>
      </c>
      <c r="V13">
        <v>3.37</v>
      </c>
      <c r="W13">
        <v>3.48</v>
      </c>
      <c r="X13">
        <v>3.48</v>
      </c>
      <c r="Y13">
        <v>3.53</v>
      </c>
      <c r="Z13">
        <v>3.59</v>
      </c>
      <c r="AA13">
        <v>3.63</v>
      </c>
      <c r="AB13">
        <v>3.69</v>
      </c>
      <c r="AC13">
        <v>3.87</v>
      </c>
      <c r="AD13">
        <v>3.87</v>
      </c>
      <c r="AE13">
        <v>3.87</v>
      </c>
      <c r="AF13">
        <v>3.91</v>
      </c>
      <c r="AG13">
        <v>3.96</v>
      </c>
      <c r="AH13">
        <v>4.01</v>
      </c>
      <c r="AK13" s="1">
        <v>75</v>
      </c>
      <c r="AL13">
        <v>2.58</v>
      </c>
      <c r="AM13">
        <v>2.58</v>
      </c>
      <c r="AN13">
        <v>2.62</v>
      </c>
      <c r="AO13">
        <v>2.66</v>
      </c>
      <c r="AP13">
        <v>2.71</v>
      </c>
      <c r="AQ13">
        <v>2.74</v>
      </c>
      <c r="AR13">
        <v>2.78</v>
      </c>
      <c r="AS13">
        <v>2.82</v>
      </c>
      <c r="AT13">
        <v>2.86</v>
      </c>
      <c r="AU13">
        <v>2.9</v>
      </c>
      <c r="AV13">
        <v>2.96</v>
      </c>
      <c r="AW13">
        <v>2.98</v>
      </c>
      <c r="AX13">
        <v>3.03</v>
      </c>
      <c r="AY13">
        <v>3.06</v>
      </c>
      <c r="AZ13">
        <v>3.1</v>
      </c>
      <c r="BC13" s="1">
        <v>75</v>
      </c>
      <c r="BD13">
        <v>2.3199999999999998</v>
      </c>
      <c r="BE13">
        <v>2.36</v>
      </c>
      <c r="BF13">
        <v>2.36</v>
      </c>
      <c r="BG13">
        <v>2.5499999999999998</v>
      </c>
      <c r="BH13">
        <v>2.57</v>
      </c>
      <c r="BI13">
        <v>2.59</v>
      </c>
      <c r="BJ13">
        <v>2.62</v>
      </c>
      <c r="BK13">
        <v>2.81</v>
      </c>
      <c r="BL13">
        <v>2.81</v>
      </c>
      <c r="BM13">
        <v>2.88</v>
      </c>
      <c r="BN13">
        <v>2.88</v>
      </c>
      <c r="BO13">
        <v>2.95</v>
      </c>
      <c r="BP13">
        <v>2.95</v>
      </c>
      <c r="BQ13">
        <v>3.12</v>
      </c>
      <c r="BR13">
        <v>3.32</v>
      </c>
    </row>
    <row r="14" spans="1:88" x14ac:dyDescent="0.25">
      <c r="A14" s="1">
        <v>85</v>
      </c>
      <c r="B14">
        <v>4.01</v>
      </c>
      <c r="C14">
        <v>4.08</v>
      </c>
      <c r="D14">
        <v>4.1500000000000004</v>
      </c>
      <c r="E14">
        <v>4.21</v>
      </c>
      <c r="F14">
        <v>4.2699999999999996</v>
      </c>
      <c r="G14">
        <v>4.34</v>
      </c>
      <c r="H14">
        <v>4.4000000000000004</v>
      </c>
      <c r="I14">
        <v>4.46</v>
      </c>
      <c r="J14">
        <v>4.53</v>
      </c>
      <c r="K14">
        <v>4.59</v>
      </c>
      <c r="L14">
        <v>4.66</v>
      </c>
      <c r="M14">
        <v>4.7300000000000004</v>
      </c>
      <c r="N14">
        <v>4.79</v>
      </c>
      <c r="O14">
        <v>4.8499999999999996</v>
      </c>
      <c r="P14">
        <v>4.91</v>
      </c>
      <c r="S14" s="1">
        <v>80</v>
      </c>
      <c r="T14">
        <v>3.35</v>
      </c>
      <c r="U14">
        <v>3.35</v>
      </c>
      <c r="V14">
        <v>3.37</v>
      </c>
      <c r="W14">
        <v>3.48</v>
      </c>
      <c r="X14">
        <v>3.48</v>
      </c>
      <c r="Y14">
        <v>3.53</v>
      </c>
      <c r="Z14">
        <v>3.63</v>
      </c>
      <c r="AA14">
        <v>3.63</v>
      </c>
      <c r="AB14">
        <v>3.69</v>
      </c>
      <c r="AC14">
        <v>3.87</v>
      </c>
      <c r="AD14">
        <v>3.87</v>
      </c>
      <c r="AE14">
        <v>3.87</v>
      </c>
      <c r="AF14">
        <v>3.91</v>
      </c>
      <c r="AG14">
        <v>3.96</v>
      </c>
      <c r="AH14">
        <v>4.01</v>
      </c>
      <c r="AK14" s="1">
        <v>80</v>
      </c>
      <c r="AL14">
        <v>2.62</v>
      </c>
      <c r="AM14">
        <v>2.62</v>
      </c>
      <c r="AN14">
        <v>2.62</v>
      </c>
      <c r="AO14">
        <v>2.66</v>
      </c>
      <c r="AP14">
        <v>2.71</v>
      </c>
      <c r="AQ14">
        <v>2.74</v>
      </c>
      <c r="AR14">
        <v>2.78</v>
      </c>
      <c r="AS14">
        <v>2.82</v>
      </c>
      <c r="AT14">
        <v>2.87</v>
      </c>
      <c r="AU14">
        <v>2.9</v>
      </c>
      <c r="AV14">
        <v>2.96</v>
      </c>
      <c r="AW14">
        <v>2.98</v>
      </c>
      <c r="AX14">
        <v>3.03</v>
      </c>
      <c r="AY14">
        <v>3.06</v>
      </c>
      <c r="AZ14">
        <v>3.1</v>
      </c>
      <c r="BC14" s="1">
        <v>80</v>
      </c>
      <c r="BD14">
        <v>2.4900000000000002</v>
      </c>
      <c r="BE14">
        <v>2.5099999999999998</v>
      </c>
      <c r="BF14">
        <v>2.5299999999999998</v>
      </c>
      <c r="BG14">
        <v>2.5499999999999998</v>
      </c>
      <c r="BH14">
        <v>2.57</v>
      </c>
      <c r="BI14">
        <v>2.59</v>
      </c>
      <c r="BJ14">
        <v>2.62</v>
      </c>
      <c r="BK14">
        <v>2.81</v>
      </c>
      <c r="BL14">
        <v>2.81</v>
      </c>
      <c r="BM14">
        <v>2.88</v>
      </c>
      <c r="BN14">
        <v>2.88</v>
      </c>
      <c r="BO14">
        <v>3.07</v>
      </c>
      <c r="BP14">
        <v>3.12</v>
      </c>
      <c r="BQ14">
        <v>3.12</v>
      </c>
      <c r="BR14">
        <v>3.32</v>
      </c>
    </row>
    <row r="15" spans="1:88" x14ac:dyDescent="0.25">
      <c r="A15" s="1">
        <v>90</v>
      </c>
      <c r="B15">
        <v>4.0199999999999996</v>
      </c>
      <c r="C15">
        <v>4.08</v>
      </c>
      <c r="D15">
        <v>4.1500000000000004</v>
      </c>
      <c r="E15">
        <v>4.21</v>
      </c>
      <c r="F15">
        <v>4.2699999999999996</v>
      </c>
      <c r="G15">
        <v>4.34</v>
      </c>
      <c r="H15">
        <v>4.4000000000000004</v>
      </c>
      <c r="I15">
        <v>4.46</v>
      </c>
      <c r="J15">
        <v>4.53</v>
      </c>
      <c r="K15">
        <v>4.59</v>
      </c>
      <c r="L15">
        <v>4.66</v>
      </c>
      <c r="M15">
        <v>4.7300000000000004</v>
      </c>
      <c r="N15">
        <v>4.79</v>
      </c>
      <c r="O15">
        <v>4.8499999999999996</v>
      </c>
      <c r="P15">
        <v>4.92</v>
      </c>
      <c r="S15" s="1">
        <v>85</v>
      </c>
      <c r="T15">
        <v>3.35</v>
      </c>
      <c r="U15">
        <v>3.35</v>
      </c>
      <c r="V15">
        <v>3.39</v>
      </c>
      <c r="W15">
        <v>3.48</v>
      </c>
      <c r="X15">
        <v>3.48</v>
      </c>
      <c r="Y15">
        <v>3.53</v>
      </c>
      <c r="Z15">
        <v>3.63</v>
      </c>
      <c r="AA15">
        <v>3.63</v>
      </c>
      <c r="AB15">
        <v>3.69</v>
      </c>
      <c r="AC15">
        <v>3.87</v>
      </c>
      <c r="AD15">
        <v>3.87</v>
      </c>
      <c r="AE15">
        <v>3.87</v>
      </c>
      <c r="AF15">
        <v>3.91</v>
      </c>
      <c r="AG15">
        <v>3.96</v>
      </c>
      <c r="AH15">
        <v>4.01</v>
      </c>
      <c r="AK15" s="1">
        <v>85</v>
      </c>
      <c r="AL15">
        <v>2.62</v>
      </c>
      <c r="AM15">
        <v>2.62</v>
      </c>
      <c r="AN15">
        <v>2.62</v>
      </c>
      <c r="AO15">
        <v>2.66</v>
      </c>
      <c r="AP15">
        <v>2.73</v>
      </c>
      <c r="AQ15">
        <v>2.74</v>
      </c>
      <c r="AR15">
        <v>2.78</v>
      </c>
      <c r="AS15">
        <v>2.82</v>
      </c>
      <c r="AT15">
        <v>2.87</v>
      </c>
      <c r="AU15">
        <v>2.9</v>
      </c>
      <c r="AV15">
        <v>2.98</v>
      </c>
      <c r="AW15">
        <v>2.98</v>
      </c>
      <c r="AX15">
        <v>3.03</v>
      </c>
      <c r="AY15">
        <v>3.06</v>
      </c>
      <c r="AZ15">
        <v>3.1</v>
      </c>
      <c r="BC15" s="1">
        <v>85</v>
      </c>
      <c r="BD15">
        <v>2.4900000000000002</v>
      </c>
      <c r="BE15">
        <v>2.5099999999999998</v>
      </c>
      <c r="BF15">
        <v>2.5299999999999998</v>
      </c>
      <c r="BG15">
        <v>2.5499999999999998</v>
      </c>
      <c r="BH15">
        <v>2.57</v>
      </c>
      <c r="BI15">
        <v>2.59</v>
      </c>
      <c r="BJ15">
        <v>2.77</v>
      </c>
      <c r="BK15">
        <v>2.81</v>
      </c>
      <c r="BL15">
        <v>2.81</v>
      </c>
      <c r="BM15">
        <v>2.88</v>
      </c>
      <c r="BN15">
        <v>2.88</v>
      </c>
      <c r="BO15">
        <v>3.07</v>
      </c>
      <c r="BP15">
        <v>3.12</v>
      </c>
      <c r="BQ15">
        <v>3.12</v>
      </c>
      <c r="BR15">
        <v>3.32</v>
      </c>
    </row>
    <row r="16" spans="1:88" x14ac:dyDescent="0.25">
      <c r="A16" s="1">
        <v>95</v>
      </c>
      <c r="B16">
        <v>4.0199999999999996</v>
      </c>
      <c r="C16">
        <v>4.08</v>
      </c>
      <c r="D16">
        <v>4.1500000000000004</v>
      </c>
      <c r="E16">
        <v>4.21</v>
      </c>
      <c r="F16">
        <v>4.2699999999999996</v>
      </c>
      <c r="G16">
        <v>4.34</v>
      </c>
      <c r="H16">
        <v>4.4000000000000004</v>
      </c>
      <c r="I16">
        <v>4.46</v>
      </c>
      <c r="J16">
        <v>4.53</v>
      </c>
      <c r="K16">
        <v>4.59</v>
      </c>
      <c r="L16">
        <v>4.66</v>
      </c>
      <c r="M16">
        <v>4.7300000000000004</v>
      </c>
      <c r="N16">
        <v>4.79</v>
      </c>
      <c r="O16">
        <v>4.8499999999999996</v>
      </c>
      <c r="P16">
        <v>4.92</v>
      </c>
      <c r="S16" s="1">
        <v>90</v>
      </c>
      <c r="T16">
        <v>3.35</v>
      </c>
      <c r="U16">
        <v>3.35</v>
      </c>
      <c r="V16">
        <v>3.39</v>
      </c>
      <c r="W16">
        <v>3.48</v>
      </c>
      <c r="X16">
        <v>3.48</v>
      </c>
      <c r="Y16">
        <v>3.53</v>
      </c>
      <c r="Z16">
        <v>3.65</v>
      </c>
      <c r="AA16">
        <v>3.65</v>
      </c>
      <c r="AB16">
        <v>3.69</v>
      </c>
      <c r="AC16">
        <v>3.87</v>
      </c>
      <c r="AD16">
        <v>3.87</v>
      </c>
      <c r="AE16">
        <v>3.87</v>
      </c>
      <c r="AF16">
        <v>3.91</v>
      </c>
      <c r="AG16">
        <v>3.96</v>
      </c>
      <c r="AH16">
        <v>4.01</v>
      </c>
      <c r="AK16" s="1">
        <v>90</v>
      </c>
      <c r="AL16">
        <v>2.67</v>
      </c>
      <c r="AM16">
        <v>2.67</v>
      </c>
      <c r="AN16">
        <v>2.67</v>
      </c>
      <c r="AO16">
        <v>2.67</v>
      </c>
      <c r="AP16">
        <v>2.74</v>
      </c>
      <c r="AQ16">
        <v>2.74</v>
      </c>
      <c r="AR16">
        <v>2.78</v>
      </c>
      <c r="AS16">
        <v>2.82</v>
      </c>
      <c r="AT16">
        <v>2.87</v>
      </c>
      <c r="AU16">
        <v>2.9</v>
      </c>
      <c r="AV16">
        <v>2.99</v>
      </c>
      <c r="AW16">
        <v>2.99</v>
      </c>
      <c r="AX16">
        <v>3.03</v>
      </c>
      <c r="AY16">
        <v>3.06</v>
      </c>
      <c r="AZ16">
        <v>3.1</v>
      </c>
      <c r="BC16" s="1">
        <v>90</v>
      </c>
      <c r="BD16">
        <v>2.4900000000000002</v>
      </c>
      <c r="BE16">
        <v>2.5099999999999998</v>
      </c>
      <c r="BF16">
        <v>2.5299999999999998</v>
      </c>
      <c r="BG16">
        <v>2.5499999999999998</v>
      </c>
      <c r="BH16">
        <v>2.57</v>
      </c>
      <c r="BI16">
        <v>2.59</v>
      </c>
      <c r="BJ16">
        <v>2.77</v>
      </c>
      <c r="BK16">
        <v>2.81</v>
      </c>
      <c r="BL16">
        <v>2.81</v>
      </c>
      <c r="BM16">
        <v>2.98</v>
      </c>
      <c r="BN16">
        <v>2.98</v>
      </c>
      <c r="BO16">
        <v>3.07</v>
      </c>
      <c r="BP16">
        <v>3.12</v>
      </c>
      <c r="BQ16">
        <v>3.12</v>
      </c>
      <c r="BR16">
        <v>3.32</v>
      </c>
    </row>
    <row r="17" spans="1:70" x14ac:dyDescent="0.25">
      <c r="A17" s="1">
        <v>100</v>
      </c>
      <c r="B17">
        <v>4.0199999999999996</v>
      </c>
      <c r="C17">
        <v>4.08</v>
      </c>
      <c r="D17">
        <v>4.1500000000000004</v>
      </c>
      <c r="E17">
        <v>4.21</v>
      </c>
      <c r="F17">
        <v>4.2699999999999996</v>
      </c>
      <c r="G17">
        <v>4.34</v>
      </c>
      <c r="H17">
        <v>4.4000000000000004</v>
      </c>
      <c r="I17">
        <v>4.46</v>
      </c>
      <c r="J17">
        <v>4.53</v>
      </c>
      <c r="K17">
        <v>4.59</v>
      </c>
      <c r="L17">
        <v>4.66</v>
      </c>
      <c r="M17">
        <v>4.7300000000000004</v>
      </c>
      <c r="N17">
        <v>4.79</v>
      </c>
      <c r="O17">
        <v>4.8499999999999996</v>
      </c>
      <c r="P17">
        <v>4.92</v>
      </c>
      <c r="S17" s="1">
        <v>95</v>
      </c>
      <c r="T17">
        <v>3.35</v>
      </c>
      <c r="U17">
        <v>3.35</v>
      </c>
      <c r="V17">
        <v>3.39</v>
      </c>
      <c r="W17">
        <v>3.48</v>
      </c>
      <c r="X17">
        <v>3.48</v>
      </c>
      <c r="Y17">
        <v>3.53</v>
      </c>
      <c r="Z17">
        <v>3.65</v>
      </c>
      <c r="AA17">
        <v>3.65</v>
      </c>
      <c r="AB17">
        <v>3.69</v>
      </c>
      <c r="AC17">
        <v>3.87</v>
      </c>
      <c r="AD17">
        <v>3.87</v>
      </c>
      <c r="AE17">
        <v>3.87</v>
      </c>
      <c r="AF17">
        <v>3.91</v>
      </c>
      <c r="AG17">
        <v>3.96</v>
      </c>
      <c r="AH17">
        <v>4.01</v>
      </c>
      <c r="AK17" s="1">
        <v>95</v>
      </c>
      <c r="AL17">
        <v>2.68</v>
      </c>
      <c r="AM17">
        <v>2.76</v>
      </c>
      <c r="AN17">
        <v>2.76</v>
      </c>
      <c r="AO17">
        <v>2.76</v>
      </c>
      <c r="AP17">
        <v>2.76</v>
      </c>
      <c r="AQ17">
        <v>2.76</v>
      </c>
      <c r="AR17">
        <v>2.83</v>
      </c>
      <c r="AS17">
        <v>2.83</v>
      </c>
      <c r="AT17">
        <v>2.87</v>
      </c>
      <c r="AU17">
        <v>2.9</v>
      </c>
      <c r="AV17">
        <v>2.99</v>
      </c>
      <c r="AW17">
        <v>2.99</v>
      </c>
      <c r="AX17">
        <v>3.03</v>
      </c>
      <c r="AY17">
        <v>3.06</v>
      </c>
      <c r="AZ17">
        <v>3.1</v>
      </c>
      <c r="BC17" s="1">
        <v>95</v>
      </c>
      <c r="BD17">
        <v>2.4900000000000002</v>
      </c>
      <c r="BE17">
        <v>2.5099999999999998</v>
      </c>
      <c r="BF17">
        <v>2.57</v>
      </c>
      <c r="BG17">
        <v>2.57</v>
      </c>
      <c r="BH17">
        <v>2.57</v>
      </c>
      <c r="BI17">
        <v>2.74</v>
      </c>
      <c r="BJ17">
        <v>2.77</v>
      </c>
      <c r="BK17">
        <v>2.81</v>
      </c>
      <c r="BL17">
        <v>2.81</v>
      </c>
      <c r="BM17">
        <v>2.98</v>
      </c>
      <c r="BN17">
        <v>2.98</v>
      </c>
      <c r="BO17">
        <v>3.18</v>
      </c>
      <c r="BP17">
        <v>3.23</v>
      </c>
      <c r="BQ17">
        <v>3.23</v>
      </c>
      <c r="BR17">
        <v>3.32</v>
      </c>
    </row>
    <row r="18" spans="1:70" x14ac:dyDescent="0.25">
      <c r="A18" s="1">
        <v>105</v>
      </c>
      <c r="B18">
        <v>4.0199999999999996</v>
      </c>
      <c r="C18">
        <v>4.08</v>
      </c>
      <c r="D18">
        <v>4.1500000000000004</v>
      </c>
      <c r="E18">
        <v>4.21</v>
      </c>
      <c r="F18">
        <v>4.2699999999999996</v>
      </c>
      <c r="G18">
        <v>4.34</v>
      </c>
      <c r="H18">
        <v>4.4000000000000004</v>
      </c>
      <c r="I18">
        <v>4.46</v>
      </c>
      <c r="J18">
        <v>4.54</v>
      </c>
      <c r="K18">
        <v>4.5999999999999996</v>
      </c>
      <c r="L18">
        <v>4.66</v>
      </c>
      <c r="M18">
        <v>4.7300000000000004</v>
      </c>
      <c r="N18">
        <v>4.79</v>
      </c>
      <c r="O18">
        <v>4.8499999999999996</v>
      </c>
      <c r="P18">
        <v>4.92</v>
      </c>
      <c r="S18" s="1">
        <v>100</v>
      </c>
      <c r="T18">
        <v>3.35</v>
      </c>
      <c r="U18">
        <v>3.35</v>
      </c>
      <c r="V18">
        <v>3.39</v>
      </c>
      <c r="W18">
        <v>3.53</v>
      </c>
      <c r="X18">
        <v>3.53</v>
      </c>
      <c r="Y18">
        <v>3.53</v>
      </c>
      <c r="Z18">
        <v>3.65</v>
      </c>
      <c r="AA18">
        <v>3.65</v>
      </c>
      <c r="AB18">
        <v>3.69</v>
      </c>
      <c r="AC18">
        <v>3.87</v>
      </c>
      <c r="AD18">
        <v>3.87</v>
      </c>
      <c r="AE18">
        <v>3.87</v>
      </c>
      <c r="AF18">
        <v>3.91</v>
      </c>
      <c r="AG18">
        <v>3.96</v>
      </c>
      <c r="AH18">
        <v>4.01</v>
      </c>
      <c r="AK18" s="1">
        <v>100</v>
      </c>
      <c r="AL18">
        <v>2.99</v>
      </c>
      <c r="AM18">
        <v>2.99</v>
      </c>
      <c r="AN18">
        <v>2.99</v>
      </c>
      <c r="AO18">
        <v>2.99</v>
      </c>
      <c r="AP18">
        <v>2.99</v>
      </c>
      <c r="AQ18">
        <v>2.99</v>
      </c>
      <c r="AR18">
        <v>2.99</v>
      </c>
      <c r="AS18">
        <v>2.99</v>
      </c>
      <c r="AT18">
        <v>2.99</v>
      </c>
      <c r="AU18">
        <v>2.99</v>
      </c>
      <c r="AV18">
        <v>2.99</v>
      </c>
      <c r="AW18">
        <v>2.99</v>
      </c>
      <c r="AX18">
        <v>3.03</v>
      </c>
      <c r="AY18">
        <v>3.06</v>
      </c>
      <c r="AZ18">
        <v>3.1</v>
      </c>
      <c r="BC18" s="1">
        <v>100</v>
      </c>
      <c r="BD18">
        <v>2.4900000000000002</v>
      </c>
      <c r="BE18">
        <v>2.5099999999999998</v>
      </c>
      <c r="BF18">
        <v>2.57</v>
      </c>
      <c r="BG18">
        <v>2.57</v>
      </c>
      <c r="BH18">
        <v>2.57</v>
      </c>
      <c r="BI18">
        <v>2.77</v>
      </c>
      <c r="BJ18">
        <v>2.89</v>
      </c>
      <c r="BK18">
        <v>2.91</v>
      </c>
      <c r="BL18">
        <v>2.93</v>
      </c>
      <c r="BM18">
        <v>2.98</v>
      </c>
      <c r="BN18">
        <v>2.98</v>
      </c>
      <c r="BO18">
        <v>3.18</v>
      </c>
      <c r="BP18">
        <v>3.23</v>
      </c>
      <c r="BQ18">
        <v>3.23</v>
      </c>
      <c r="BR18">
        <v>3.41</v>
      </c>
    </row>
    <row r="19" spans="1:70" x14ac:dyDescent="0.25">
      <c r="A19" s="1">
        <v>110</v>
      </c>
      <c r="B19">
        <v>4.0199999999999996</v>
      </c>
      <c r="C19">
        <v>4.08</v>
      </c>
      <c r="D19">
        <v>4.1500000000000004</v>
      </c>
      <c r="E19">
        <v>4.21</v>
      </c>
      <c r="F19">
        <v>4.2699999999999996</v>
      </c>
      <c r="G19">
        <v>4.34</v>
      </c>
      <c r="H19">
        <v>4.4000000000000004</v>
      </c>
      <c r="I19">
        <v>4.46</v>
      </c>
      <c r="J19">
        <v>4.55</v>
      </c>
      <c r="K19">
        <v>4.6100000000000003</v>
      </c>
      <c r="L19">
        <v>4.67</v>
      </c>
      <c r="M19">
        <v>4.7300000000000004</v>
      </c>
      <c r="N19">
        <v>4.79</v>
      </c>
      <c r="O19">
        <v>4.8600000000000003</v>
      </c>
      <c r="P19">
        <v>4.92</v>
      </c>
      <c r="S19" s="1">
        <v>105</v>
      </c>
      <c r="T19">
        <v>3.39</v>
      </c>
      <c r="U19">
        <v>3.39</v>
      </c>
      <c r="V19">
        <v>3.39</v>
      </c>
      <c r="W19">
        <v>3.53</v>
      </c>
      <c r="X19">
        <v>3.53</v>
      </c>
      <c r="Y19">
        <v>3.53</v>
      </c>
      <c r="Z19">
        <v>3.65</v>
      </c>
      <c r="AA19">
        <v>3.65</v>
      </c>
      <c r="AB19">
        <v>3.69</v>
      </c>
      <c r="AC19">
        <v>3.87</v>
      </c>
      <c r="AD19">
        <v>3.87</v>
      </c>
      <c r="AE19">
        <v>3.87</v>
      </c>
      <c r="AF19">
        <v>4.0199999999999996</v>
      </c>
      <c r="AG19">
        <v>4.0199999999999996</v>
      </c>
      <c r="AH19">
        <v>4.0199999999999996</v>
      </c>
      <c r="AK19" s="1">
        <v>105</v>
      </c>
      <c r="AL19">
        <v>3.01</v>
      </c>
      <c r="AM19">
        <v>3.01</v>
      </c>
      <c r="AN19">
        <v>3.01</v>
      </c>
      <c r="AO19">
        <v>3.01</v>
      </c>
      <c r="AP19">
        <v>3.01</v>
      </c>
      <c r="AQ19">
        <v>3.01</v>
      </c>
      <c r="AR19">
        <v>3.01</v>
      </c>
      <c r="AS19">
        <v>3.01</v>
      </c>
      <c r="AT19">
        <v>3.01</v>
      </c>
      <c r="AU19">
        <v>3.01</v>
      </c>
      <c r="AV19">
        <v>3.01</v>
      </c>
      <c r="AW19">
        <v>3.01</v>
      </c>
      <c r="AX19">
        <v>3.04</v>
      </c>
      <c r="AY19">
        <v>3.08</v>
      </c>
      <c r="AZ19">
        <v>3.12</v>
      </c>
      <c r="BC19" s="1">
        <v>105</v>
      </c>
      <c r="BD19">
        <v>2.63</v>
      </c>
      <c r="BE19">
        <v>2.69</v>
      </c>
      <c r="BF19">
        <v>2.69</v>
      </c>
      <c r="BG19">
        <v>2.69</v>
      </c>
      <c r="BH19">
        <v>2.71</v>
      </c>
      <c r="BI19">
        <v>2.77</v>
      </c>
      <c r="BJ19">
        <v>2.89</v>
      </c>
      <c r="BK19">
        <v>2.91</v>
      </c>
      <c r="BL19">
        <v>2.93</v>
      </c>
      <c r="BM19">
        <v>2.98</v>
      </c>
      <c r="BN19">
        <v>2.98</v>
      </c>
      <c r="BO19">
        <v>3.18</v>
      </c>
      <c r="BP19">
        <v>3.23</v>
      </c>
      <c r="BQ19">
        <v>3.23</v>
      </c>
      <c r="BR19">
        <v>3.41</v>
      </c>
    </row>
    <row r="20" spans="1:70" x14ac:dyDescent="0.25">
      <c r="A20" s="1">
        <v>115</v>
      </c>
      <c r="B20">
        <v>4.03</v>
      </c>
      <c r="C20">
        <v>4.09</v>
      </c>
      <c r="D20">
        <v>4.1500000000000004</v>
      </c>
      <c r="E20">
        <v>4.22</v>
      </c>
      <c r="F20">
        <v>4.28</v>
      </c>
      <c r="G20">
        <v>4.34</v>
      </c>
      <c r="H20">
        <v>4.4000000000000004</v>
      </c>
      <c r="I20">
        <v>4.46</v>
      </c>
      <c r="J20">
        <v>4.55</v>
      </c>
      <c r="K20">
        <v>4.62</v>
      </c>
      <c r="L20">
        <v>4.68</v>
      </c>
      <c r="M20">
        <v>4.74</v>
      </c>
      <c r="N20">
        <v>4.8</v>
      </c>
      <c r="O20">
        <v>4.8600000000000003</v>
      </c>
      <c r="P20">
        <v>4.92</v>
      </c>
      <c r="S20" s="1">
        <v>110</v>
      </c>
      <c r="T20">
        <v>3.39</v>
      </c>
      <c r="U20">
        <v>3.39</v>
      </c>
      <c r="V20">
        <v>3.39</v>
      </c>
      <c r="W20">
        <v>3.53</v>
      </c>
      <c r="X20">
        <v>3.53</v>
      </c>
      <c r="Y20">
        <v>3.53</v>
      </c>
      <c r="Z20">
        <v>3.69</v>
      </c>
      <c r="AA20">
        <v>3.69</v>
      </c>
      <c r="AB20">
        <v>3.69</v>
      </c>
      <c r="AC20">
        <v>3.87</v>
      </c>
      <c r="AD20">
        <v>3.87</v>
      </c>
      <c r="AE20">
        <v>3.87</v>
      </c>
      <c r="AF20">
        <v>5</v>
      </c>
      <c r="AG20">
        <v>5.0599999999999996</v>
      </c>
      <c r="AH20">
        <v>5.1100000000000003</v>
      </c>
      <c r="AK20" s="1">
        <v>110</v>
      </c>
      <c r="AL20">
        <v>3.16</v>
      </c>
      <c r="AM20">
        <v>3.16</v>
      </c>
      <c r="AN20">
        <v>3.16</v>
      </c>
      <c r="AO20">
        <v>3.16</v>
      </c>
      <c r="AP20">
        <v>3.16</v>
      </c>
      <c r="AQ20">
        <v>3.16</v>
      </c>
      <c r="AR20">
        <v>3.16</v>
      </c>
      <c r="AS20">
        <v>3.16</v>
      </c>
      <c r="AT20">
        <v>3.76</v>
      </c>
      <c r="AU20">
        <v>3.76</v>
      </c>
      <c r="AV20">
        <v>3.76</v>
      </c>
      <c r="AW20">
        <v>3.76</v>
      </c>
      <c r="AX20">
        <v>3.84</v>
      </c>
      <c r="AY20">
        <v>3.84</v>
      </c>
      <c r="AZ20">
        <v>4.37</v>
      </c>
      <c r="BC20" s="1">
        <v>110</v>
      </c>
      <c r="BD20">
        <v>2.81</v>
      </c>
      <c r="BE20">
        <v>2.81</v>
      </c>
      <c r="BF20">
        <v>2.81</v>
      </c>
      <c r="BG20">
        <v>2.82</v>
      </c>
      <c r="BH20">
        <v>2.84</v>
      </c>
      <c r="BI20">
        <v>2.86</v>
      </c>
      <c r="BJ20">
        <v>2.89</v>
      </c>
      <c r="BK20">
        <v>2.91</v>
      </c>
      <c r="BL20">
        <v>2.93</v>
      </c>
      <c r="BM20">
        <v>2.98</v>
      </c>
      <c r="BN20">
        <v>2.98</v>
      </c>
      <c r="BO20">
        <v>3.33</v>
      </c>
      <c r="BP20">
        <v>3.36</v>
      </c>
      <c r="BQ20">
        <v>3.41</v>
      </c>
      <c r="BR20">
        <v>3.41</v>
      </c>
    </row>
    <row r="21" spans="1:70" x14ac:dyDescent="0.25">
      <c r="C21" s="3">
        <v>12</v>
      </c>
      <c r="S21" s="1">
        <v>115</v>
      </c>
      <c r="T21">
        <v>3.69</v>
      </c>
      <c r="U21">
        <v>3.69</v>
      </c>
      <c r="V21">
        <v>3.69</v>
      </c>
      <c r="W21">
        <v>3.69</v>
      </c>
      <c r="X21">
        <v>3.69</v>
      </c>
      <c r="Y21">
        <v>3.69</v>
      </c>
      <c r="Z21">
        <v>3.69</v>
      </c>
      <c r="AA21">
        <v>3.69</v>
      </c>
      <c r="AB21">
        <v>3.69</v>
      </c>
      <c r="AC21">
        <v>3.87</v>
      </c>
      <c r="AD21">
        <v>3.87</v>
      </c>
      <c r="AE21">
        <v>3.87</v>
      </c>
      <c r="AF21">
        <v>5.23</v>
      </c>
      <c r="AG21">
        <v>5.23</v>
      </c>
      <c r="AH21">
        <v>5.23</v>
      </c>
      <c r="AK21" s="1">
        <v>115</v>
      </c>
      <c r="AL21">
        <v>3.16</v>
      </c>
      <c r="AM21">
        <v>3.16</v>
      </c>
      <c r="AN21">
        <v>3.16</v>
      </c>
      <c r="AO21">
        <v>3.16</v>
      </c>
      <c r="AP21">
        <v>3.16</v>
      </c>
      <c r="AQ21">
        <v>3.16</v>
      </c>
      <c r="AR21">
        <v>3.16</v>
      </c>
      <c r="AS21">
        <v>3.16</v>
      </c>
      <c r="AT21">
        <v>3.76</v>
      </c>
      <c r="AU21">
        <v>3.76</v>
      </c>
      <c r="AV21">
        <v>3.76</v>
      </c>
      <c r="AW21">
        <v>3.76</v>
      </c>
      <c r="AX21">
        <v>3.84</v>
      </c>
      <c r="AY21">
        <v>3.84</v>
      </c>
      <c r="AZ21">
        <v>4.37</v>
      </c>
      <c r="BC21" s="1">
        <v>115</v>
      </c>
      <c r="BD21">
        <v>3.04</v>
      </c>
      <c r="BE21">
        <v>3.04</v>
      </c>
      <c r="BF21">
        <v>3.04</v>
      </c>
      <c r="BG21">
        <v>3.04</v>
      </c>
      <c r="BH21">
        <v>3.04</v>
      </c>
      <c r="BI21">
        <v>3.04</v>
      </c>
      <c r="BJ21">
        <v>3.04</v>
      </c>
      <c r="BK21">
        <v>3.04</v>
      </c>
      <c r="BL21">
        <v>3.07</v>
      </c>
      <c r="BM21">
        <v>3.11</v>
      </c>
      <c r="BN21">
        <v>3.11</v>
      </c>
      <c r="BO21">
        <v>3.48</v>
      </c>
      <c r="BP21">
        <v>3.51</v>
      </c>
      <c r="BQ21">
        <v>3.56</v>
      </c>
      <c r="BR21">
        <v>3.56</v>
      </c>
    </row>
    <row r="22" spans="1:70" ht="30" customHeight="1" x14ac:dyDescent="0.25">
      <c r="C22" s="4" t="s">
        <v>18</v>
      </c>
      <c r="D22" s="4" t="s">
        <v>19</v>
      </c>
      <c r="E22" s="4" t="s">
        <v>20</v>
      </c>
      <c r="F22" s="4" t="s">
        <v>21</v>
      </c>
      <c r="G22" s="5" t="s">
        <v>22</v>
      </c>
    </row>
    <row r="23" spans="1:70" x14ac:dyDescent="0.25">
      <c r="A23">
        <v>6</v>
      </c>
      <c r="B23">
        <v>20</v>
      </c>
      <c r="C23">
        <f t="array" ref="C23">INDEX(B2:P20,,$C$21)</f>
        <v>4.7300000000000004</v>
      </c>
      <c r="D23">
        <f t="array" ref="D23">INDEX(T2:AH21,,$C$21)</f>
        <v>3.83</v>
      </c>
      <c r="E23">
        <f t="array" ref="E23">INDEX(AL2:AZ21,,$C$21)</f>
        <v>2.97</v>
      </c>
      <c r="F23">
        <f t="array" ref="F23">INDEX(BD2:BR21,,$C$21)</f>
        <v>2.31</v>
      </c>
      <c r="G23">
        <f t="array" ref="G23">INDEX(BV2:CJ12,,$C$21)</f>
        <v>2.0699999999999998</v>
      </c>
      <c r="I23">
        <v>20</v>
      </c>
      <c r="J23">
        <f>MIN($C23:$G23)</f>
        <v>2.0699999999999998</v>
      </c>
    </row>
    <row r="24" spans="1:70" x14ac:dyDescent="0.25">
      <c r="A24">
        <v>6.1</v>
      </c>
      <c r="B24">
        <v>25</v>
      </c>
      <c r="C24">
        <f t="array" ref="C24">INDEX(B3:P21,,$C$21)</f>
        <v>4.7300000000000004</v>
      </c>
      <c r="D24">
        <f t="array" ref="D24">INDEX(T3:AH22,,$C$21)</f>
        <v>3.83</v>
      </c>
      <c r="E24">
        <f t="array" ref="E24">INDEX(AL3:AZ22,,$C$21)</f>
        <v>2.97</v>
      </c>
      <c r="F24">
        <f t="array" ref="F24">INDEX(BD3:BR22,,$C$21)</f>
        <v>2.31</v>
      </c>
      <c r="G24">
        <f t="array" ref="G24">INDEX(BV3:CJ13,,$C$21)</f>
        <v>2.0699999999999998</v>
      </c>
      <c r="I24">
        <v>25</v>
      </c>
      <c r="J24">
        <f>MIN($C24:$G24)</f>
        <v>2.0699999999999998</v>
      </c>
      <c r="BE24" t="s">
        <v>67</v>
      </c>
      <c r="BF24" t="s">
        <v>67</v>
      </c>
    </row>
    <row r="25" spans="1:70" x14ac:dyDescent="0.25">
      <c r="A25">
        <v>6.2</v>
      </c>
      <c r="B25">
        <v>30</v>
      </c>
      <c r="D25">
        <f t="array" ref="D25">INDEX(T4:AH23,,$C$21)</f>
        <v>3.83</v>
      </c>
      <c r="E25">
        <f t="array" ref="E25">INDEX(AL4:AZ23,,$C$21)</f>
        <v>2.97</v>
      </c>
      <c r="F25">
        <f t="array" ref="F25">INDEX(BD4:BR23,,$C$21)</f>
        <v>2.73</v>
      </c>
      <c r="G25">
        <f t="array" ref="G25">INDEX(BV4:CJ14,,$C$21)</f>
        <v>2.0699999999999998</v>
      </c>
      <c r="I25">
        <v>30</v>
      </c>
      <c r="J25">
        <f>MIN($C25:$G25)</f>
        <v>2.0699999999999998</v>
      </c>
      <c r="BE25" t="s">
        <v>67</v>
      </c>
      <c r="BF25" t="s">
        <v>67</v>
      </c>
    </row>
    <row r="26" spans="1:70" x14ac:dyDescent="0.25">
      <c r="A26">
        <v>6.3</v>
      </c>
      <c r="B26">
        <v>35</v>
      </c>
      <c r="C26">
        <f t="array" ref="C26">INDEX(B4:P22,,$C$21)</f>
        <v>4.7300000000000004</v>
      </c>
      <c r="D26">
        <f t="array" ref="D26">INDEX(T5:AH24,,$C$21)</f>
        <v>3.83</v>
      </c>
      <c r="E26">
        <f t="array" ref="E26">INDEX(AL5:AZ24,,$C$21)</f>
        <v>2.97</v>
      </c>
      <c r="F26">
        <f t="array" ref="F26">INDEX(BD5:BR24,,$C$21)</f>
        <v>2.76</v>
      </c>
      <c r="G26">
        <f t="array" ref="G26">INDEX(BV5:CJ15,,$C$21)</f>
        <v>2.08</v>
      </c>
      <c r="I26">
        <v>35</v>
      </c>
      <c r="J26">
        <f>MIN($C26:$G26)</f>
        <v>2.08</v>
      </c>
      <c r="BE26" t="s">
        <v>67</v>
      </c>
      <c r="BF26" t="s">
        <v>67</v>
      </c>
    </row>
    <row r="27" spans="1:70" x14ac:dyDescent="0.25">
      <c r="A27">
        <v>6.4</v>
      </c>
      <c r="B27">
        <v>40</v>
      </c>
      <c r="C27">
        <f t="array" ref="C27">INDEX(B5:P23,,$C$21)</f>
        <v>4.7300000000000004</v>
      </c>
      <c r="D27">
        <f t="array" ref="D27">INDEX(T6:AH25,,$C$21)</f>
        <v>3.84</v>
      </c>
      <c r="E27">
        <f t="array" ref="E27">INDEX(AL6:AZ25,,$C$21)</f>
        <v>2.98</v>
      </c>
      <c r="F27">
        <f t="array" ref="F27">INDEX(BD6:BR25,,$C$21)</f>
        <v>2.76</v>
      </c>
      <c r="G27">
        <f t="array" ref="G27">INDEX(BV6:CJ16,,$C$21)</f>
        <v>2.08</v>
      </c>
      <c r="I27">
        <v>40</v>
      </c>
      <c r="J27">
        <f>MIN($C27:$G27)</f>
        <v>2.08</v>
      </c>
      <c r="BE27" t="s">
        <v>67</v>
      </c>
      <c r="BF27" t="s">
        <v>67</v>
      </c>
    </row>
    <row r="28" spans="1:70" x14ac:dyDescent="0.25">
      <c r="A28">
        <v>6.5</v>
      </c>
      <c r="B28">
        <v>45</v>
      </c>
      <c r="C28">
        <f t="array" ref="C28">INDEX(B6:P24,,$C$21)</f>
        <v>4.7300000000000004</v>
      </c>
      <c r="D28">
        <f t="array" ref="D28">INDEX(T7:AH26,,$C$21)</f>
        <v>3.86</v>
      </c>
      <c r="E28">
        <f t="array" ref="E28">INDEX(AL7:AZ26,,$C$21)</f>
        <v>2.98</v>
      </c>
      <c r="F28">
        <f t="array" ref="F28">INDEX(BD7:BR26,,$C$21)</f>
        <v>2.76</v>
      </c>
      <c r="G28">
        <f t="array" ref="G28">INDEX(BV7:CJ17,,$C$21)</f>
        <v>2.08</v>
      </c>
      <c r="I28">
        <v>45</v>
      </c>
      <c r="J28">
        <f>MIN($C28:$G28)</f>
        <v>2.08</v>
      </c>
      <c r="BE28" t="s">
        <v>67</v>
      </c>
      <c r="BF28" t="s">
        <v>67</v>
      </c>
    </row>
    <row r="29" spans="1:70" x14ac:dyDescent="0.25">
      <c r="A29">
        <v>6.6</v>
      </c>
      <c r="B29">
        <v>50</v>
      </c>
      <c r="C29">
        <f t="array" ref="C29">INDEX(B7:P25,,$C$21)</f>
        <v>4.7300000000000004</v>
      </c>
      <c r="D29">
        <f t="array" ref="D29">INDEX(T8:AH27,,$C$21)</f>
        <v>3.86</v>
      </c>
      <c r="E29">
        <f t="array" ref="E29">INDEX(AL8:AZ27,,$C$21)</f>
        <v>2.98</v>
      </c>
      <c r="F29">
        <f t="array" ref="F29">INDEX(BD8:BR27,,$C$21)</f>
        <v>2.76</v>
      </c>
      <c r="G29">
        <f t="array" ref="G29">INDEX(BV8:CJ18,,$C$21)</f>
        <v>2.25</v>
      </c>
      <c r="I29">
        <v>50</v>
      </c>
      <c r="J29">
        <f>MIN($C29:$G29)</f>
        <v>2.25</v>
      </c>
      <c r="BE29" t="s">
        <v>67</v>
      </c>
      <c r="BF29" t="s">
        <v>67</v>
      </c>
    </row>
    <row r="30" spans="1:70" x14ac:dyDescent="0.25">
      <c r="A30">
        <v>6.7</v>
      </c>
      <c r="B30">
        <v>55</v>
      </c>
      <c r="C30">
        <f t="array" ref="C30">INDEX(B8:P26,,$C$21)</f>
        <v>4.7300000000000004</v>
      </c>
      <c r="D30">
        <f t="array" ref="D30">INDEX(T9:AH28,,$C$21)</f>
        <v>3.86</v>
      </c>
      <c r="E30">
        <f t="array" ref="E30">INDEX(AL9:AZ28,,$C$21)</f>
        <v>2.98</v>
      </c>
      <c r="F30">
        <f t="array" ref="F30">INDEX(BD9:BR28,,$C$21)</f>
        <v>2.95</v>
      </c>
      <c r="G30">
        <f t="array" ref="G30">INDEX(BV9:CJ19,,$C$21)</f>
        <v>2.25</v>
      </c>
      <c r="I30">
        <v>55</v>
      </c>
      <c r="J30">
        <f>MIN($C30:$G30)</f>
        <v>2.25</v>
      </c>
      <c r="BE30" t="s">
        <v>67</v>
      </c>
      <c r="BF30" t="s">
        <v>67</v>
      </c>
    </row>
    <row r="31" spans="1:70" x14ac:dyDescent="0.25">
      <c r="A31">
        <v>6.8</v>
      </c>
      <c r="B31">
        <v>60</v>
      </c>
      <c r="C31">
        <f t="array" ref="C31">INDEX(B9:P27,,$C$21)</f>
        <v>4.7300000000000004</v>
      </c>
      <c r="D31">
        <f t="array" ref="D31">INDEX(T10:AH29,,$C$21)</f>
        <v>3.86</v>
      </c>
      <c r="E31">
        <f t="array" ref="E31">INDEX(AL10:AZ29,,$C$21)</f>
        <v>2.98</v>
      </c>
      <c r="F31">
        <f t="array" ref="F31">INDEX(BD10:BR29,,$C$21)</f>
        <v>2.95</v>
      </c>
      <c r="G31">
        <f t="array" ref="G31">INDEX(BV10:CJ20,,$C$21)</f>
        <v>2.25</v>
      </c>
      <c r="I31">
        <v>60</v>
      </c>
      <c r="J31">
        <f>MIN($C31:$G31)</f>
        <v>2.25</v>
      </c>
      <c r="BE31" t="s">
        <v>67</v>
      </c>
      <c r="BF31" t="s">
        <v>67</v>
      </c>
    </row>
    <row r="32" spans="1:70" x14ac:dyDescent="0.25">
      <c r="A32">
        <v>6.9</v>
      </c>
      <c r="B32">
        <v>65</v>
      </c>
      <c r="C32">
        <f t="array" ref="C32">INDEX(B10:P28,,$C$21)</f>
        <v>4.7300000000000004</v>
      </c>
      <c r="D32">
        <f t="array" ref="D32">INDEX(T11:AH30,,$C$21)</f>
        <v>3.86</v>
      </c>
      <c r="E32">
        <f t="array" ref="E32">INDEX(AL11:AZ30,,$C$21)</f>
        <v>2.98</v>
      </c>
      <c r="F32">
        <f t="array" ref="F32">INDEX(BD11:BR30,,$C$21)</f>
        <v>2.95</v>
      </c>
      <c r="G32">
        <f t="array" ref="G32">INDEX(BV11:CJ21,,$C$21)</f>
        <v>2.25</v>
      </c>
      <c r="I32">
        <v>65</v>
      </c>
      <c r="J32">
        <f>MIN($C32:$G32)</f>
        <v>2.25</v>
      </c>
      <c r="BE32" t="s">
        <v>67</v>
      </c>
      <c r="BF32" t="s">
        <v>67</v>
      </c>
    </row>
    <row r="33" spans="1:58" x14ac:dyDescent="0.25">
      <c r="A33">
        <v>7</v>
      </c>
      <c r="B33">
        <v>70</v>
      </c>
      <c r="C33">
        <f t="array" ref="C33">INDEX(B11:P29,,$C$21)</f>
        <v>4.7300000000000004</v>
      </c>
      <c r="D33">
        <f t="array" ref="D33">INDEX(T12:AH31,,$C$21)</f>
        <v>3.86</v>
      </c>
      <c r="E33">
        <f t="array" ref="E33">INDEX(AL12:AZ31,,$C$21)</f>
        <v>2.98</v>
      </c>
      <c r="F33">
        <f t="array" ref="F33">INDEX(BD12:BR31,,$C$21)</f>
        <v>2.95</v>
      </c>
      <c r="G33">
        <f t="array" ref="G33">INDEX(BV12:CJ22,,$C$21)</f>
        <v>2.4500000000000002</v>
      </c>
      <c r="I33">
        <v>70</v>
      </c>
      <c r="J33">
        <f>MIN($C33:$G33)</f>
        <v>2.4500000000000002</v>
      </c>
      <c r="BE33" t="s">
        <v>67</v>
      </c>
      <c r="BF33" t="s">
        <v>67</v>
      </c>
    </row>
    <row r="34" spans="1:58" x14ac:dyDescent="0.25">
      <c r="A34">
        <v>7.1</v>
      </c>
      <c r="B34">
        <v>75</v>
      </c>
      <c r="C34">
        <f t="array" ref="C34">INDEX(B12:P30,,$C$21)</f>
        <v>4.7300000000000004</v>
      </c>
      <c r="D34">
        <f t="array" ref="D34">INDEX(T13:AH32,,$C$21)</f>
        <v>3.87</v>
      </c>
      <c r="E34">
        <f t="array" ref="E34">INDEX(AL13:AZ32,,$C$21)</f>
        <v>2.98</v>
      </c>
      <c r="F34">
        <f t="array" ref="F34">INDEX(BD13:BR32,,$C$21)</f>
        <v>2.95</v>
      </c>
      <c r="I34">
        <v>75</v>
      </c>
      <c r="J34">
        <f>MIN($C34:$G34)</f>
        <v>2.95</v>
      </c>
      <c r="BE34" t="s">
        <v>67</v>
      </c>
      <c r="BF34" t="s">
        <v>67</v>
      </c>
    </row>
    <row r="35" spans="1:58" x14ac:dyDescent="0.25">
      <c r="A35">
        <v>7.2</v>
      </c>
      <c r="B35">
        <v>80</v>
      </c>
      <c r="C35">
        <f t="array" ref="C35">INDEX(B13:P31,,$C$21)</f>
        <v>4.7300000000000004</v>
      </c>
      <c r="D35">
        <f t="array" ref="D35">INDEX(T14:AH33,,$C$21)</f>
        <v>3.87</v>
      </c>
      <c r="E35">
        <f t="array" ref="E35">INDEX(AL14:AZ33,,$C$21)</f>
        <v>2.98</v>
      </c>
      <c r="F35">
        <f t="array" ref="F35">INDEX(BD14:BR33,,$C$21)</f>
        <v>3.07</v>
      </c>
      <c r="I35">
        <v>80</v>
      </c>
      <c r="J35">
        <f>MIN($C35:$G35)</f>
        <v>2.98</v>
      </c>
      <c r="BE35" t="s">
        <v>67</v>
      </c>
      <c r="BF35" t="s">
        <v>67</v>
      </c>
    </row>
    <row r="36" spans="1:58" x14ac:dyDescent="0.25">
      <c r="A36">
        <v>7.3</v>
      </c>
      <c r="B36">
        <v>85</v>
      </c>
      <c r="C36">
        <f t="array" ref="C36">INDEX(B14:P32,,$C$21)</f>
        <v>4.7300000000000004</v>
      </c>
      <c r="D36">
        <f t="array" ref="D36">INDEX(T15:AH34,,$C$21)</f>
        <v>3.87</v>
      </c>
      <c r="E36">
        <f t="array" ref="E36">INDEX(AL15:AZ34,,$C$21)</f>
        <v>2.98</v>
      </c>
      <c r="F36">
        <f t="array" ref="F36">INDEX(BD15:BR34,,$C$21)</f>
        <v>3.07</v>
      </c>
      <c r="I36">
        <v>85</v>
      </c>
      <c r="J36">
        <f>MIN($C36:$G36)</f>
        <v>2.98</v>
      </c>
      <c r="BE36" t="s">
        <v>67</v>
      </c>
      <c r="BF36" t="s">
        <v>67</v>
      </c>
    </row>
    <row r="37" spans="1:58" x14ac:dyDescent="0.25">
      <c r="A37">
        <v>7.4</v>
      </c>
      <c r="B37">
        <v>90</v>
      </c>
      <c r="C37">
        <f t="array" ref="C37">INDEX(B15:P33,,$C$21)</f>
        <v>4.7300000000000004</v>
      </c>
      <c r="D37">
        <f t="array" ref="D37">INDEX(T16:AH35,,$C$21)</f>
        <v>3.87</v>
      </c>
      <c r="E37">
        <f t="array" ref="E37">INDEX(AL16:AZ35,,$C$21)</f>
        <v>2.99</v>
      </c>
      <c r="F37">
        <f t="array" ref="F37">INDEX(BD16:BR35,,$C$21)</f>
        <v>3.07</v>
      </c>
      <c r="I37">
        <v>90</v>
      </c>
      <c r="J37">
        <f>MIN($C37:$G37)</f>
        <v>2.99</v>
      </c>
      <c r="BE37" t="s">
        <v>67</v>
      </c>
      <c r="BF37" t="s">
        <v>67</v>
      </c>
    </row>
    <row r="38" spans="1:58" x14ac:dyDescent="0.25">
      <c r="B38">
        <v>95</v>
      </c>
      <c r="C38">
        <f t="array" ref="C38">INDEX(B16:P34,,$C$21)</f>
        <v>4.7300000000000004</v>
      </c>
      <c r="D38">
        <f t="array" ref="D38">INDEX(T17:AH36,,$C$21)</f>
        <v>3.87</v>
      </c>
      <c r="E38">
        <f t="array" ref="E38">INDEX(AL17:AZ36,,$C$21)</f>
        <v>2.99</v>
      </c>
      <c r="F38">
        <f t="array" ref="F38">INDEX(BD17:BR36,,$C$21)</f>
        <v>3.18</v>
      </c>
      <c r="I38">
        <v>95</v>
      </c>
      <c r="J38">
        <f>MIN($C38:$G38)</f>
        <v>2.99</v>
      </c>
      <c r="BE38" t="s">
        <v>67</v>
      </c>
      <c r="BF38" t="s">
        <v>67</v>
      </c>
    </row>
    <row r="39" spans="1:58" x14ac:dyDescent="0.25">
      <c r="B39">
        <v>100</v>
      </c>
      <c r="C39">
        <f t="array" ref="C39">INDEX(B17:P35,,$C$21)</f>
        <v>4.7300000000000004</v>
      </c>
      <c r="D39">
        <f t="array" ref="D39">INDEX(T18:AH37,,$C$21)</f>
        <v>3.87</v>
      </c>
      <c r="E39">
        <f t="array" ref="E39">INDEX(AL18:AZ37,,$C$21)</f>
        <v>2.99</v>
      </c>
      <c r="F39">
        <f t="array" ref="F39">INDEX(BD18:BR37,,$C$21)</f>
        <v>3.18</v>
      </c>
      <c r="I39">
        <v>100</v>
      </c>
      <c r="J39">
        <f>MIN($C39:$G39)</f>
        <v>2.99</v>
      </c>
      <c r="BE39" t="s">
        <v>67</v>
      </c>
      <c r="BF39" t="s">
        <v>67</v>
      </c>
    </row>
    <row r="40" spans="1:58" x14ac:dyDescent="0.25">
      <c r="B40">
        <v>105</v>
      </c>
      <c r="C40">
        <f t="array" ref="C40">INDEX(B18:P36,,$C$21)</f>
        <v>4.7300000000000004</v>
      </c>
      <c r="D40">
        <f t="array" ref="D40">INDEX(T19:AH38,,$C$21)</f>
        <v>3.87</v>
      </c>
      <c r="E40">
        <f t="array" ref="E40">INDEX(AL19:AZ38,,$C$21)</f>
        <v>3.01</v>
      </c>
      <c r="F40">
        <f t="array" ref="F40">INDEX(BD19:BR38,,$C$21)</f>
        <v>3.18</v>
      </c>
      <c r="I40">
        <v>105</v>
      </c>
      <c r="J40">
        <f>MIN($C40:$G40)</f>
        <v>3.01</v>
      </c>
      <c r="BE40" t="s">
        <v>67</v>
      </c>
      <c r="BF40" t="s">
        <v>67</v>
      </c>
    </row>
    <row r="41" spans="1:58" x14ac:dyDescent="0.25">
      <c r="B41">
        <v>110</v>
      </c>
      <c r="C41">
        <f t="array" ref="C41">INDEX(B19:P37,,$C$21)</f>
        <v>4.7300000000000004</v>
      </c>
      <c r="D41">
        <f t="array" ref="D41">INDEX(T20:AH39,,$C$21)</f>
        <v>3.87</v>
      </c>
      <c r="E41">
        <f t="array" ref="E41">INDEX(AL20:AZ39,,$C$21)</f>
        <v>3.76</v>
      </c>
      <c r="F41">
        <f t="array" ref="F41">INDEX(BD20:BR39,,$C$21)</f>
        <v>3.33</v>
      </c>
      <c r="I41">
        <v>110</v>
      </c>
      <c r="J41">
        <f>MIN($C41:$G41)</f>
        <v>3.33</v>
      </c>
      <c r="BE41" t="s">
        <v>67</v>
      </c>
      <c r="BF41" t="s">
        <v>67</v>
      </c>
    </row>
    <row r="42" spans="1:58" x14ac:dyDescent="0.25">
      <c r="B42">
        <v>115</v>
      </c>
      <c r="C42">
        <f t="array" ref="C42">INDEX(B20:P38,,$C$21)</f>
        <v>4.74</v>
      </c>
      <c r="D42">
        <f t="array" ref="D42">INDEX(T21:AH40,,$C$21)</f>
        <v>3.87</v>
      </c>
      <c r="E42">
        <f t="array" ref="E42">INDEX(AL21:AZ40,,$C$21)</f>
        <v>3.76</v>
      </c>
      <c r="F42" s="7">
        <f t="array" ref="F42">INDEX(BD21:BR40,,$C$21)</f>
        <v>3.48</v>
      </c>
      <c r="I42">
        <v>115</v>
      </c>
      <c r="J42">
        <f>MIN($C42:$G42)</f>
        <v>3.48</v>
      </c>
      <c r="BE42" t="s">
        <v>67</v>
      </c>
      <c r="BF42" t="s">
        <v>67</v>
      </c>
    </row>
    <row r="43" spans="1:58" x14ac:dyDescent="0.25">
      <c r="BE43" t="s">
        <v>67</v>
      </c>
      <c r="BF43" t="s">
        <v>67</v>
      </c>
    </row>
    <row r="44" spans="1:58" x14ac:dyDescent="0.25">
      <c r="BE44" t="s">
        <v>67</v>
      </c>
      <c r="BF44" t="s">
        <v>67</v>
      </c>
    </row>
    <row r="45" spans="1:58" x14ac:dyDescent="0.25">
      <c r="BE45" t="s">
        <v>67</v>
      </c>
      <c r="BF45" t="s">
        <v>67</v>
      </c>
    </row>
    <row r="46" spans="1:58" x14ac:dyDescent="0.25">
      <c r="C46">
        <v>6</v>
      </c>
      <c r="D46">
        <v>6.1</v>
      </c>
      <c r="E46">
        <v>6.2</v>
      </c>
      <c r="F46">
        <v>6.3</v>
      </c>
      <c r="G46">
        <v>6.4</v>
      </c>
      <c r="H46">
        <v>6.5</v>
      </c>
      <c r="I46">
        <v>6.6</v>
      </c>
      <c r="J46">
        <v>6.7</v>
      </c>
      <c r="K46">
        <v>6.8</v>
      </c>
      <c r="L46">
        <v>6.9</v>
      </c>
      <c r="M46">
        <v>7</v>
      </c>
      <c r="N46">
        <v>7.1</v>
      </c>
      <c r="O46">
        <v>7.2</v>
      </c>
      <c r="P46">
        <v>7.3</v>
      </c>
      <c r="Q46">
        <v>7.4</v>
      </c>
      <c r="BE46" t="s">
        <v>67</v>
      </c>
      <c r="BF46" t="s">
        <v>67</v>
      </c>
    </row>
    <row r="47" spans="1:58" x14ac:dyDescent="0.25">
      <c r="B47">
        <v>20</v>
      </c>
      <c r="C47">
        <v>1.32</v>
      </c>
      <c r="D47">
        <v>1.32</v>
      </c>
      <c r="E47">
        <v>1.32</v>
      </c>
      <c r="F47">
        <v>1.32</v>
      </c>
      <c r="G47">
        <v>1.32</v>
      </c>
      <c r="H47">
        <v>1.32</v>
      </c>
      <c r="I47">
        <v>1.32</v>
      </c>
      <c r="J47">
        <v>1.32</v>
      </c>
      <c r="K47">
        <v>1.88</v>
      </c>
      <c r="L47">
        <v>1.88</v>
      </c>
      <c r="M47">
        <v>2.0699999999999998</v>
      </c>
      <c r="N47">
        <v>2.0699999999999998</v>
      </c>
      <c r="O47">
        <v>2.0699999999999998</v>
      </c>
      <c r="P47">
        <v>2.0699999999999998</v>
      </c>
      <c r="Q47">
        <v>2.08</v>
      </c>
      <c r="BE47" t="s">
        <v>67</v>
      </c>
      <c r="BF47" t="s">
        <v>67</v>
      </c>
    </row>
    <row r="48" spans="1:58" x14ac:dyDescent="0.25">
      <c r="B48">
        <v>25</v>
      </c>
      <c r="C48">
        <v>1.63</v>
      </c>
      <c r="D48">
        <v>1.63</v>
      </c>
      <c r="E48">
        <v>1.63</v>
      </c>
      <c r="F48">
        <v>1.68</v>
      </c>
      <c r="G48">
        <v>1.68</v>
      </c>
      <c r="H48">
        <v>1.68</v>
      </c>
      <c r="I48">
        <v>1.68</v>
      </c>
      <c r="J48">
        <v>1.68</v>
      </c>
      <c r="K48">
        <v>1.88</v>
      </c>
      <c r="L48">
        <v>1.88</v>
      </c>
      <c r="M48">
        <v>2.0699999999999998</v>
      </c>
      <c r="N48">
        <v>2.0699999999999998</v>
      </c>
      <c r="O48">
        <v>2.0699999999999998</v>
      </c>
      <c r="P48">
        <v>2.0699999999999998</v>
      </c>
      <c r="Q48">
        <v>2.08</v>
      </c>
      <c r="BE48" t="s">
        <v>67</v>
      </c>
      <c r="BF48" t="s">
        <v>67</v>
      </c>
    </row>
    <row r="49" spans="2:58" x14ac:dyDescent="0.25">
      <c r="B49">
        <v>30</v>
      </c>
      <c r="C49">
        <v>1.81</v>
      </c>
      <c r="D49">
        <v>1.91</v>
      </c>
      <c r="E49">
        <v>1.91</v>
      </c>
      <c r="F49">
        <v>2.0699999999999998</v>
      </c>
      <c r="G49">
        <v>2.0699999999999998</v>
      </c>
      <c r="H49">
        <v>2.0699999999999998</v>
      </c>
      <c r="I49">
        <v>2.0699999999999998</v>
      </c>
      <c r="J49">
        <v>2.0699999999999998</v>
      </c>
      <c r="K49">
        <v>2.0699999999999998</v>
      </c>
      <c r="L49">
        <v>2.0699999999999998</v>
      </c>
      <c r="M49">
        <v>2.0699999999999998</v>
      </c>
      <c r="N49">
        <v>2.0699999999999998</v>
      </c>
      <c r="O49">
        <v>2.0699999999999998</v>
      </c>
      <c r="P49">
        <v>2.0699999999999998</v>
      </c>
      <c r="Q49">
        <v>2.08</v>
      </c>
      <c r="BE49" t="s">
        <v>67</v>
      </c>
      <c r="BF49" t="s">
        <v>67</v>
      </c>
    </row>
    <row r="50" spans="2:58" x14ac:dyDescent="0.25">
      <c r="B50">
        <v>35</v>
      </c>
      <c r="C50">
        <v>1.81</v>
      </c>
      <c r="D50">
        <v>1.91</v>
      </c>
      <c r="E50">
        <v>1.91</v>
      </c>
      <c r="F50">
        <v>2.0699999999999998</v>
      </c>
      <c r="G50">
        <v>2.0699999999999998</v>
      </c>
      <c r="H50">
        <v>2.0699999999999998</v>
      </c>
      <c r="I50">
        <v>2.0699999999999998</v>
      </c>
      <c r="J50">
        <v>2.08</v>
      </c>
      <c r="K50">
        <v>2.08</v>
      </c>
      <c r="L50">
        <v>2.08</v>
      </c>
      <c r="M50">
        <v>2.08</v>
      </c>
      <c r="N50">
        <v>2.08</v>
      </c>
      <c r="O50">
        <v>2.08</v>
      </c>
      <c r="P50">
        <v>2.08</v>
      </c>
      <c r="Q50">
        <v>2.08</v>
      </c>
      <c r="BE50" t="s">
        <v>67</v>
      </c>
      <c r="BF50" t="s">
        <v>67</v>
      </c>
    </row>
    <row r="51" spans="2:58" x14ac:dyDescent="0.25">
      <c r="B51">
        <v>40</v>
      </c>
      <c r="C51">
        <v>1.81</v>
      </c>
      <c r="D51">
        <v>1.91</v>
      </c>
      <c r="E51">
        <v>1.91</v>
      </c>
      <c r="F51">
        <v>2.0699999999999998</v>
      </c>
      <c r="G51">
        <v>2.0699999999999998</v>
      </c>
      <c r="H51">
        <v>2.0699999999999998</v>
      </c>
      <c r="I51">
        <v>2.0699999999999998</v>
      </c>
      <c r="J51">
        <v>2.08</v>
      </c>
      <c r="K51">
        <v>2.08</v>
      </c>
      <c r="L51">
        <v>2.08</v>
      </c>
      <c r="M51">
        <v>2.08</v>
      </c>
      <c r="N51">
        <v>2.08</v>
      </c>
      <c r="O51">
        <v>2.08</v>
      </c>
      <c r="P51">
        <v>2.08</v>
      </c>
      <c r="Q51">
        <v>2.08</v>
      </c>
      <c r="BE51" t="s">
        <v>67</v>
      </c>
      <c r="BF51" t="s">
        <v>67</v>
      </c>
    </row>
    <row r="52" spans="2:58" x14ac:dyDescent="0.25">
      <c r="B52">
        <v>45</v>
      </c>
      <c r="C52">
        <v>1.81</v>
      </c>
      <c r="D52">
        <v>2.02</v>
      </c>
      <c r="E52">
        <v>2.02</v>
      </c>
      <c r="F52">
        <v>2.0699999999999998</v>
      </c>
      <c r="G52">
        <v>2.0699999999999998</v>
      </c>
      <c r="H52">
        <v>2.0699999999999998</v>
      </c>
      <c r="I52">
        <v>2.0699999999999998</v>
      </c>
      <c r="J52">
        <v>2.08</v>
      </c>
      <c r="K52">
        <v>2.08</v>
      </c>
      <c r="L52">
        <v>2.08</v>
      </c>
      <c r="M52">
        <v>2.08</v>
      </c>
      <c r="N52">
        <v>2.08</v>
      </c>
      <c r="O52">
        <v>2.08</v>
      </c>
      <c r="P52">
        <v>2.08</v>
      </c>
      <c r="Q52">
        <v>2.08</v>
      </c>
      <c r="BE52" t="s">
        <v>67</v>
      </c>
      <c r="BF52" t="s">
        <v>67</v>
      </c>
    </row>
    <row r="53" spans="2:58" x14ac:dyDescent="0.25">
      <c r="B53">
        <v>50</v>
      </c>
      <c r="C53">
        <v>1.81</v>
      </c>
      <c r="D53">
        <v>2.02</v>
      </c>
      <c r="E53">
        <v>2.02</v>
      </c>
      <c r="F53">
        <v>2.08</v>
      </c>
      <c r="G53">
        <v>2.08</v>
      </c>
      <c r="H53">
        <v>2.08</v>
      </c>
      <c r="I53">
        <v>2.08</v>
      </c>
      <c r="J53">
        <v>2.08</v>
      </c>
      <c r="K53">
        <v>2.08</v>
      </c>
      <c r="L53">
        <v>2.08</v>
      </c>
      <c r="M53">
        <v>2.08</v>
      </c>
      <c r="N53">
        <v>2.25</v>
      </c>
      <c r="O53">
        <v>2.25</v>
      </c>
      <c r="P53">
        <v>2.25</v>
      </c>
      <c r="Q53">
        <v>2.25</v>
      </c>
      <c r="BE53" t="s">
        <v>67</v>
      </c>
      <c r="BF53" t="s">
        <v>67</v>
      </c>
    </row>
    <row r="54" spans="2:58" x14ac:dyDescent="0.25">
      <c r="B54">
        <v>55</v>
      </c>
      <c r="C54">
        <v>1.81</v>
      </c>
      <c r="D54">
        <v>2.02</v>
      </c>
      <c r="E54">
        <v>2.02</v>
      </c>
      <c r="F54">
        <v>2.08</v>
      </c>
      <c r="G54">
        <v>2.08</v>
      </c>
      <c r="H54">
        <v>2.08</v>
      </c>
      <c r="I54">
        <v>2.08</v>
      </c>
      <c r="J54">
        <v>2.08</v>
      </c>
      <c r="K54">
        <v>2.08</v>
      </c>
      <c r="L54">
        <v>2.08</v>
      </c>
      <c r="M54">
        <v>2.08</v>
      </c>
      <c r="N54">
        <v>2.25</v>
      </c>
      <c r="O54">
        <v>2.25</v>
      </c>
      <c r="P54">
        <v>2.25</v>
      </c>
      <c r="Q54">
        <v>2.25</v>
      </c>
      <c r="BE54" t="s">
        <v>67</v>
      </c>
      <c r="BF54" t="s">
        <v>67</v>
      </c>
    </row>
    <row r="55" spans="2:58" x14ac:dyDescent="0.25">
      <c r="B55">
        <v>60</v>
      </c>
      <c r="C55">
        <v>1.81</v>
      </c>
      <c r="D55">
        <v>2.02</v>
      </c>
      <c r="E55">
        <v>2.02</v>
      </c>
      <c r="F55">
        <v>2.08</v>
      </c>
      <c r="G55">
        <v>2.08</v>
      </c>
      <c r="H55">
        <v>2.08</v>
      </c>
      <c r="I55">
        <v>2.08</v>
      </c>
      <c r="J55">
        <v>2.08</v>
      </c>
      <c r="K55">
        <v>2.08</v>
      </c>
      <c r="L55">
        <v>2.08</v>
      </c>
      <c r="M55">
        <v>2.08</v>
      </c>
      <c r="N55">
        <v>2.25</v>
      </c>
      <c r="O55">
        <v>2.25</v>
      </c>
      <c r="P55">
        <v>2.25</v>
      </c>
      <c r="Q55">
        <v>2.25</v>
      </c>
      <c r="BE55" t="s">
        <v>67</v>
      </c>
      <c r="BF55" t="s">
        <v>67</v>
      </c>
    </row>
    <row r="56" spans="2:58" x14ac:dyDescent="0.25">
      <c r="B56">
        <v>65</v>
      </c>
      <c r="C56">
        <v>1.81</v>
      </c>
      <c r="D56">
        <v>2.02</v>
      </c>
      <c r="E56">
        <v>2.02</v>
      </c>
      <c r="F56">
        <v>2.25</v>
      </c>
      <c r="G56">
        <v>2.25</v>
      </c>
      <c r="H56">
        <v>2.25</v>
      </c>
      <c r="I56">
        <v>2.25</v>
      </c>
      <c r="J56">
        <v>2.25</v>
      </c>
      <c r="K56">
        <v>2.25</v>
      </c>
      <c r="L56">
        <v>2.25</v>
      </c>
      <c r="M56">
        <v>2.25</v>
      </c>
      <c r="N56">
        <v>2.25</v>
      </c>
      <c r="O56">
        <v>2.25</v>
      </c>
      <c r="P56">
        <v>2.25</v>
      </c>
      <c r="Q56">
        <v>2.25</v>
      </c>
      <c r="BE56" t="s">
        <v>67</v>
      </c>
      <c r="BF56" t="s">
        <v>67</v>
      </c>
    </row>
    <row r="57" spans="2:58" x14ac:dyDescent="0.25">
      <c r="B57">
        <v>70</v>
      </c>
      <c r="C57">
        <v>2.3199999999999998</v>
      </c>
      <c r="D57">
        <v>2.36</v>
      </c>
      <c r="E57">
        <v>2.36</v>
      </c>
      <c r="F57">
        <v>2.4500000000000002</v>
      </c>
      <c r="G57">
        <v>2.4500000000000002</v>
      </c>
      <c r="H57">
        <v>2.4500000000000002</v>
      </c>
      <c r="I57">
        <v>2.4500000000000002</v>
      </c>
      <c r="J57">
        <v>2.4500000000000002</v>
      </c>
      <c r="K57">
        <v>2.4500000000000002</v>
      </c>
      <c r="L57">
        <v>2.4500000000000002</v>
      </c>
      <c r="M57">
        <v>2.4500000000000002</v>
      </c>
      <c r="N57">
        <v>2.4500000000000002</v>
      </c>
      <c r="O57">
        <v>2.4500000000000002</v>
      </c>
      <c r="P57">
        <v>2.4500000000000002</v>
      </c>
      <c r="Q57">
        <v>2.4500000000000002</v>
      </c>
      <c r="BE57" t="s">
        <v>67</v>
      </c>
      <c r="BF57" t="s">
        <v>67</v>
      </c>
    </row>
    <row r="58" spans="2:58" x14ac:dyDescent="0.25">
      <c r="B58">
        <v>75</v>
      </c>
      <c r="C58">
        <v>2.3199999999999998</v>
      </c>
      <c r="D58">
        <v>2.36</v>
      </c>
      <c r="E58">
        <v>2.36</v>
      </c>
      <c r="F58">
        <v>2.5499999999999998</v>
      </c>
      <c r="G58">
        <v>2.57</v>
      </c>
      <c r="H58">
        <v>2.59</v>
      </c>
      <c r="I58">
        <v>2.62</v>
      </c>
      <c r="J58">
        <v>2.77</v>
      </c>
      <c r="K58">
        <v>2.87</v>
      </c>
      <c r="L58">
        <v>2.88</v>
      </c>
      <c r="M58">
        <v>2.88</v>
      </c>
      <c r="N58">
        <v>2.95</v>
      </c>
      <c r="O58">
        <v>2.95</v>
      </c>
      <c r="P58">
        <v>3.06</v>
      </c>
      <c r="Q58">
        <v>3.1</v>
      </c>
      <c r="BE58" t="s">
        <v>67</v>
      </c>
      <c r="BF58" t="s">
        <v>67</v>
      </c>
    </row>
    <row r="59" spans="2:58" x14ac:dyDescent="0.25">
      <c r="B59">
        <v>80</v>
      </c>
      <c r="C59">
        <v>2.4900000000000002</v>
      </c>
      <c r="D59">
        <v>2.5099999999999998</v>
      </c>
      <c r="E59">
        <v>2.5299999999999998</v>
      </c>
      <c r="F59">
        <v>2.5499999999999998</v>
      </c>
      <c r="G59">
        <v>2.57</v>
      </c>
      <c r="H59">
        <v>2.59</v>
      </c>
      <c r="I59">
        <v>2.62</v>
      </c>
      <c r="J59">
        <v>2.77</v>
      </c>
      <c r="K59">
        <v>2.87</v>
      </c>
      <c r="L59">
        <v>2.88</v>
      </c>
      <c r="M59">
        <v>2.88</v>
      </c>
      <c r="N59">
        <v>2.98</v>
      </c>
      <c r="O59">
        <v>3.03</v>
      </c>
      <c r="P59">
        <v>3.06</v>
      </c>
      <c r="Q59">
        <v>3.1</v>
      </c>
      <c r="BE59" t="s">
        <v>67</v>
      </c>
      <c r="BF59" t="s">
        <v>67</v>
      </c>
    </row>
    <row r="60" spans="2:58" x14ac:dyDescent="0.25">
      <c r="B60">
        <v>85</v>
      </c>
      <c r="C60">
        <v>2.4900000000000002</v>
      </c>
      <c r="D60">
        <v>2.5099999999999998</v>
      </c>
      <c r="E60">
        <v>2.5299999999999998</v>
      </c>
      <c r="F60">
        <v>2.5499999999999998</v>
      </c>
      <c r="G60">
        <v>2.57</v>
      </c>
      <c r="H60">
        <v>2.59</v>
      </c>
      <c r="I60">
        <v>2.77</v>
      </c>
      <c r="J60">
        <v>2.77</v>
      </c>
      <c r="K60">
        <v>2.87</v>
      </c>
      <c r="L60">
        <v>2.88</v>
      </c>
      <c r="M60">
        <v>2.88</v>
      </c>
      <c r="N60">
        <v>2.98</v>
      </c>
      <c r="O60">
        <v>3.03</v>
      </c>
      <c r="P60">
        <v>3.06</v>
      </c>
      <c r="Q60">
        <v>3.1</v>
      </c>
      <c r="BE60" t="s">
        <v>67</v>
      </c>
      <c r="BF60" t="s">
        <v>67</v>
      </c>
    </row>
    <row r="61" spans="2:58" x14ac:dyDescent="0.25">
      <c r="B61">
        <v>90</v>
      </c>
      <c r="C61">
        <v>2.4900000000000002</v>
      </c>
      <c r="D61">
        <v>2.5099999999999998</v>
      </c>
      <c r="E61">
        <v>2.5299999999999998</v>
      </c>
      <c r="F61">
        <v>2.5499999999999998</v>
      </c>
      <c r="G61">
        <v>2.57</v>
      </c>
      <c r="H61">
        <v>2.59</v>
      </c>
      <c r="I61">
        <v>2.77</v>
      </c>
      <c r="J61">
        <v>2.77</v>
      </c>
      <c r="K61">
        <v>2.87</v>
      </c>
      <c r="L61">
        <v>2.9</v>
      </c>
      <c r="M61">
        <v>2.94</v>
      </c>
      <c r="N61">
        <v>2.99</v>
      </c>
      <c r="O61">
        <v>3.03</v>
      </c>
      <c r="P61">
        <v>3.06</v>
      </c>
      <c r="Q61">
        <v>3.1</v>
      </c>
      <c r="BE61" t="s">
        <v>67</v>
      </c>
      <c r="BF61" t="s">
        <v>67</v>
      </c>
    </row>
    <row r="62" spans="2:58" x14ac:dyDescent="0.25">
      <c r="B62">
        <v>95</v>
      </c>
      <c r="C62">
        <v>2.4900000000000002</v>
      </c>
      <c r="D62">
        <v>2.5099999999999998</v>
      </c>
      <c r="E62">
        <v>2.57</v>
      </c>
      <c r="F62">
        <v>2.57</v>
      </c>
      <c r="G62">
        <v>2.57</v>
      </c>
      <c r="H62">
        <v>2.74</v>
      </c>
      <c r="I62">
        <v>2.77</v>
      </c>
      <c r="J62">
        <v>2.77</v>
      </c>
      <c r="K62">
        <v>2.87</v>
      </c>
      <c r="L62">
        <v>2.9</v>
      </c>
      <c r="M62">
        <v>2.94</v>
      </c>
      <c r="N62">
        <v>2.99</v>
      </c>
      <c r="O62">
        <v>3.03</v>
      </c>
      <c r="P62">
        <v>3.06</v>
      </c>
      <c r="Q62">
        <v>3.1</v>
      </c>
      <c r="BE62" t="s">
        <v>67</v>
      </c>
      <c r="BF62" t="s">
        <v>67</v>
      </c>
    </row>
    <row r="63" spans="2:58" x14ac:dyDescent="0.25">
      <c r="B63">
        <v>100</v>
      </c>
      <c r="C63">
        <v>2.4900000000000002</v>
      </c>
      <c r="D63">
        <v>2.5099999999999998</v>
      </c>
      <c r="E63">
        <v>2.57</v>
      </c>
      <c r="F63">
        <v>2.57</v>
      </c>
      <c r="G63">
        <v>2.57</v>
      </c>
      <c r="H63">
        <v>2.77</v>
      </c>
      <c r="I63">
        <v>2.77</v>
      </c>
      <c r="J63">
        <v>2.77</v>
      </c>
      <c r="K63">
        <v>2.93</v>
      </c>
      <c r="L63">
        <v>2.98</v>
      </c>
      <c r="M63">
        <v>2.98</v>
      </c>
      <c r="N63">
        <v>2.99</v>
      </c>
      <c r="O63">
        <v>3.03</v>
      </c>
      <c r="P63">
        <v>3.06</v>
      </c>
      <c r="Q63">
        <v>3.1</v>
      </c>
      <c r="BE63" t="s">
        <v>67</v>
      </c>
      <c r="BF63" t="s">
        <v>67</v>
      </c>
    </row>
    <row r="64" spans="2:58" x14ac:dyDescent="0.25">
      <c r="B64">
        <v>105</v>
      </c>
      <c r="C64">
        <v>2.63</v>
      </c>
      <c r="D64">
        <v>2.69</v>
      </c>
      <c r="E64">
        <v>2.69</v>
      </c>
      <c r="F64">
        <v>2.69</v>
      </c>
      <c r="G64">
        <v>2.71</v>
      </c>
      <c r="H64">
        <v>2.77</v>
      </c>
      <c r="I64">
        <v>2.77</v>
      </c>
      <c r="J64">
        <v>2.77</v>
      </c>
      <c r="K64">
        <v>2.93</v>
      </c>
      <c r="L64">
        <v>2.98</v>
      </c>
      <c r="M64">
        <v>2.98</v>
      </c>
      <c r="N64">
        <v>3.04</v>
      </c>
      <c r="O64">
        <v>3.04</v>
      </c>
      <c r="P64">
        <v>3.08</v>
      </c>
      <c r="Q64">
        <v>3.12</v>
      </c>
      <c r="BE64" t="s">
        <v>67</v>
      </c>
      <c r="BF64" t="s">
        <v>67</v>
      </c>
    </row>
    <row r="65" spans="2:58" x14ac:dyDescent="0.25">
      <c r="B65">
        <v>110</v>
      </c>
      <c r="C65">
        <v>2.81</v>
      </c>
      <c r="D65">
        <v>2.81</v>
      </c>
      <c r="E65">
        <v>2.81</v>
      </c>
      <c r="F65">
        <v>2.82</v>
      </c>
      <c r="G65">
        <v>2.84</v>
      </c>
      <c r="H65">
        <v>2.86</v>
      </c>
      <c r="I65">
        <v>2.89</v>
      </c>
      <c r="J65">
        <v>2.91</v>
      </c>
      <c r="K65">
        <v>2.93</v>
      </c>
      <c r="L65">
        <v>2.98</v>
      </c>
      <c r="M65">
        <v>2.98</v>
      </c>
      <c r="N65">
        <v>3.33</v>
      </c>
      <c r="O65">
        <v>3.36</v>
      </c>
      <c r="P65">
        <v>3.41</v>
      </c>
      <c r="Q65">
        <v>3.41</v>
      </c>
      <c r="BE65" t="s">
        <v>67</v>
      </c>
      <c r="BF65" t="s">
        <v>67</v>
      </c>
    </row>
    <row r="66" spans="2:58" x14ac:dyDescent="0.25">
      <c r="B66">
        <v>115</v>
      </c>
      <c r="C66">
        <v>2.91</v>
      </c>
      <c r="D66">
        <v>2.91</v>
      </c>
      <c r="E66">
        <v>2.91</v>
      </c>
      <c r="F66">
        <v>2.91</v>
      </c>
      <c r="G66">
        <v>3.04</v>
      </c>
      <c r="H66">
        <v>3.04</v>
      </c>
      <c r="I66">
        <v>3.04</v>
      </c>
      <c r="J66">
        <v>3.04</v>
      </c>
      <c r="K66">
        <v>3.11</v>
      </c>
      <c r="L66">
        <v>3.11</v>
      </c>
      <c r="M66">
        <v>3.11</v>
      </c>
      <c r="N66">
        <v>3.48</v>
      </c>
      <c r="O66">
        <v>3.51</v>
      </c>
      <c r="P66">
        <v>3.56</v>
      </c>
      <c r="Q66">
        <v>3.56</v>
      </c>
      <c r="BE66" t="s">
        <v>67</v>
      </c>
      <c r="BF66" t="s">
        <v>67</v>
      </c>
    </row>
    <row r="67" spans="2:58" x14ac:dyDescent="0.25">
      <c r="BE67" t="s">
        <v>67</v>
      </c>
      <c r="BF67" t="s">
        <v>67</v>
      </c>
    </row>
    <row r="68" spans="2:58" x14ac:dyDescent="0.25">
      <c r="BE68" t="s">
        <v>67</v>
      </c>
      <c r="BF68" t="s">
        <v>67</v>
      </c>
    </row>
    <row r="69" spans="2:58" x14ac:dyDescent="0.25">
      <c r="BE69" t="s">
        <v>67</v>
      </c>
      <c r="BF69" t="s">
        <v>67</v>
      </c>
    </row>
    <row r="70" spans="2:58" x14ac:dyDescent="0.25">
      <c r="BE70" t="s">
        <v>67</v>
      </c>
      <c r="BF70" t="s">
        <v>67</v>
      </c>
    </row>
    <row r="71" spans="2:58" x14ac:dyDescent="0.25">
      <c r="BE71" t="s">
        <v>67</v>
      </c>
      <c r="BF71" t="s">
        <v>67</v>
      </c>
    </row>
    <row r="72" spans="2:58" x14ac:dyDescent="0.25">
      <c r="BE72" t="s">
        <v>67</v>
      </c>
      <c r="BF72" t="s">
        <v>67</v>
      </c>
    </row>
    <row r="73" spans="2:58" x14ac:dyDescent="0.25">
      <c r="BE73" t="s">
        <v>67</v>
      </c>
      <c r="BF73" t="s">
        <v>67</v>
      </c>
    </row>
    <row r="74" spans="2:58" x14ac:dyDescent="0.25">
      <c r="BE74" t="s">
        <v>67</v>
      </c>
      <c r="BF74" t="s">
        <v>67</v>
      </c>
    </row>
    <row r="75" spans="2:58" x14ac:dyDescent="0.25">
      <c r="BE75" t="s">
        <v>67</v>
      </c>
      <c r="BF75" t="s">
        <v>67</v>
      </c>
    </row>
    <row r="76" spans="2:58" x14ac:dyDescent="0.25">
      <c r="BE76" t="s">
        <v>67</v>
      </c>
      <c r="BF76" t="s">
        <v>67</v>
      </c>
    </row>
    <row r="77" spans="2:58" x14ac:dyDescent="0.25">
      <c r="BE77" t="s">
        <v>67</v>
      </c>
      <c r="BF77" t="s">
        <v>67</v>
      </c>
    </row>
    <row r="78" spans="2:58" x14ac:dyDescent="0.25">
      <c r="BE78" t="s">
        <v>67</v>
      </c>
      <c r="BF78" t="s">
        <v>67</v>
      </c>
    </row>
    <row r="79" spans="2:58" x14ac:dyDescent="0.25">
      <c r="BE79" t="s">
        <v>67</v>
      </c>
      <c r="BF79" t="s">
        <v>67</v>
      </c>
    </row>
    <row r="80" spans="2:58" x14ac:dyDescent="0.25">
      <c r="BE80" t="s">
        <v>67</v>
      </c>
      <c r="BF80" t="s">
        <v>67</v>
      </c>
    </row>
    <row r="81" spans="57:58" x14ac:dyDescent="0.25">
      <c r="BE81" t="s">
        <v>67</v>
      </c>
      <c r="BF81" t="s">
        <v>67</v>
      </c>
    </row>
    <row r="82" spans="57:58" x14ac:dyDescent="0.25">
      <c r="BE82" t="s">
        <v>67</v>
      </c>
      <c r="BF82" t="s">
        <v>67</v>
      </c>
    </row>
    <row r="83" spans="57:58" x14ac:dyDescent="0.25">
      <c r="BE83" t="s">
        <v>67</v>
      </c>
      <c r="BF83" t="s">
        <v>67</v>
      </c>
    </row>
    <row r="84" spans="57:58" x14ac:dyDescent="0.25">
      <c r="BE84" t="s">
        <v>67</v>
      </c>
      <c r="BF84" t="s">
        <v>67</v>
      </c>
    </row>
    <row r="85" spans="57:58" x14ac:dyDescent="0.25">
      <c r="BE85" t="s">
        <v>67</v>
      </c>
      <c r="BF85" t="s">
        <v>67</v>
      </c>
    </row>
    <row r="86" spans="57:58" x14ac:dyDescent="0.25">
      <c r="BE86" t="s">
        <v>67</v>
      </c>
      <c r="BF86" t="s">
        <v>67</v>
      </c>
    </row>
    <row r="87" spans="57:58" x14ac:dyDescent="0.25">
      <c r="BE87" t="s">
        <v>67</v>
      </c>
      <c r="BF87" t="s">
        <v>67</v>
      </c>
    </row>
    <row r="88" spans="57:58" x14ac:dyDescent="0.25">
      <c r="BE88" t="s">
        <v>67</v>
      </c>
      <c r="BF88" t="s">
        <v>67</v>
      </c>
    </row>
    <row r="89" spans="57:58" x14ac:dyDescent="0.25">
      <c r="BE89" t="s">
        <v>67</v>
      </c>
      <c r="BF89" t="s">
        <v>67</v>
      </c>
    </row>
    <row r="90" spans="57:58" x14ac:dyDescent="0.25">
      <c r="BE90" t="s">
        <v>67</v>
      </c>
      <c r="BF90" t="s">
        <v>67</v>
      </c>
    </row>
    <row r="91" spans="57:58" x14ac:dyDescent="0.25">
      <c r="BE91" t="s">
        <v>67</v>
      </c>
      <c r="BF91" t="s">
        <v>67</v>
      </c>
    </row>
    <row r="92" spans="57:58" x14ac:dyDescent="0.25">
      <c r="BE92" t="s">
        <v>67</v>
      </c>
      <c r="BF92" t="s">
        <v>67</v>
      </c>
    </row>
    <row r="93" spans="57:58" x14ac:dyDescent="0.25">
      <c r="BE93" t="s">
        <v>67</v>
      </c>
      <c r="BF93" t="s">
        <v>67</v>
      </c>
    </row>
    <row r="94" spans="57:58" x14ac:dyDescent="0.25">
      <c r="BE94" t="s">
        <v>67</v>
      </c>
      <c r="BF94" t="s">
        <v>67</v>
      </c>
    </row>
    <row r="95" spans="57:58" x14ac:dyDescent="0.25">
      <c r="BE95" t="s">
        <v>67</v>
      </c>
      <c r="BF95" t="s">
        <v>67</v>
      </c>
    </row>
    <row r="96" spans="57:58" x14ac:dyDescent="0.25">
      <c r="BE96" t="s">
        <v>67</v>
      </c>
      <c r="BF96" t="s">
        <v>67</v>
      </c>
    </row>
    <row r="97" spans="57:58" x14ac:dyDescent="0.25">
      <c r="BE97" t="s">
        <v>67</v>
      </c>
      <c r="BF97" t="s">
        <v>67</v>
      </c>
    </row>
    <row r="98" spans="57:58" x14ac:dyDescent="0.25">
      <c r="BE98" t="s">
        <v>67</v>
      </c>
      <c r="BF98" t="s">
        <v>67</v>
      </c>
    </row>
    <row r="99" spans="57:58" x14ac:dyDescent="0.25">
      <c r="BE99" t="s">
        <v>67</v>
      </c>
      <c r="BF99" t="s">
        <v>67</v>
      </c>
    </row>
    <row r="100" spans="57:58" x14ac:dyDescent="0.25">
      <c r="BE100" t="s">
        <v>67</v>
      </c>
      <c r="BF100" t="s">
        <v>67</v>
      </c>
    </row>
    <row r="101" spans="57:58" x14ac:dyDescent="0.25">
      <c r="BE101" t="s">
        <v>67</v>
      </c>
      <c r="BF101" t="s">
        <v>67</v>
      </c>
    </row>
    <row r="102" spans="57:58" x14ac:dyDescent="0.25">
      <c r="BE102" t="s">
        <v>67</v>
      </c>
      <c r="BF102" t="s">
        <v>67</v>
      </c>
    </row>
    <row r="103" spans="57:58" x14ac:dyDescent="0.25">
      <c r="BE103" t="s">
        <v>67</v>
      </c>
      <c r="BF103" t="s">
        <v>67</v>
      </c>
    </row>
    <row r="104" spans="57:58" x14ac:dyDescent="0.25">
      <c r="BE104" t="s">
        <v>67</v>
      </c>
      <c r="BF104" t="s">
        <v>67</v>
      </c>
    </row>
    <row r="105" spans="57:58" x14ac:dyDescent="0.25">
      <c r="BE105" t="s">
        <v>67</v>
      </c>
      <c r="BF105" t="s">
        <v>67</v>
      </c>
    </row>
    <row r="106" spans="57:58" x14ac:dyDescent="0.25">
      <c r="BE106" t="s">
        <v>67</v>
      </c>
      <c r="BF106" t="s">
        <v>67</v>
      </c>
    </row>
    <row r="107" spans="57:58" x14ac:dyDescent="0.25">
      <c r="BE107" t="s">
        <v>67</v>
      </c>
      <c r="BF107" t="s">
        <v>67</v>
      </c>
    </row>
    <row r="108" spans="57:58" x14ac:dyDescent="0.25">
      <c r="BE108" t="s">
        <v>67</v>
      </c>
      <c r="BF108" t="s">
        <v>67</v>
      </c>
    </row>
    <row r="109" spans="57:58" x14ac:dyDescent="0.25">
      <c r="BE109" t="s">
        <v>67</v>
      </c>
      <c r="BF109" t="s">
        <v>67</v>
      </c>
    </row>
    <row r="110" spans="57:58" x14ac:dyDescent="0.25">
      <c r="BE110" t="s">
        <v>67</v>
      </c>
      <c r="BF110" t="s">
        <v>67</v>
      </c>
    </row>
    <row r="111" spans="57:58" x14ac:dyDescent="0.25">
      <c r="BE111" t="s">
        <v>67</v>
      </c>
      <c r="BF111" t="s">
        <v>67</v>
      </c>
    </row>
    <row r="112" spans="57:58" x14ac:dyDescent="0.25">
      <c r="BE112" t="s">
        <v>67</v>
      </c>
      <c r="BF112" t="s">
        <v>67</v>
      </c>
    </row>
    <row r="113" spans="57:58" x14ac:dyDescent="0.25">
      <c r="BE113" t="s">
        <v>67</v>
      </c>
      <c r="BF113" t="s">
        <v>67</v>
      </c>
    </row>
    <row r="114" spans="57:58" x14ac:dyDescent="0.25">
      <c r="BE114" t="s">
        <v>67</v>
      </c>
      <c r="BF114" t="s">
        <v>67</v>
      </c>
    </row>
    <row r="115" spans="57:58" x14ac:dyDescent="0.25">
      <c r="BE115" t="s">
        <v>67</v>
      </c>
      <c r="BF115" t="s">
        <v>67</v>
      </c>
    </row>
    <row r="116" spans="57:58" x14ac:dyDescent="0.25">
      <c r="BE116" t="s">
        <v>67</v>
      </c>
      <c r="BF116" t="s">
        <v>67</v>
      </c>
    </row>
    <row r="117" spans="57:58" x14ac:dyDescent="0.25">
      <c r="BE117" t="s">
        <v>67</v>
      </c>
      <c r="BF117" t="s">
        <v>67</v>
      </c>
    </row>
    <row r="118" spans="57:58" x14ac:dyDescent="0.25">
      <c r="BE118" t="s">
        <v>67</v>
      </c>
      <c r="BF118" t="s">
        <v>67</v>
      </c>
    </row>
    <row r="119" spans="57:58" x14ac:dyDescent="0.25">
      <c r="BE119" t="s">
        <v>67</v>
      </c>
      <c r="BF119" t="s">
        <v>67</v>
      </c>
    </row>
    <row r="120" spans="57:58" x14ac:dyDescent="0.25">
      <c r="BE120" t="s">
        <v>67</v>
      </c>
      <c r="BF120" t="s">
        <v>67</v>
      </c>
    </row>
    <row r="121" spans="57:58" x14ac:dyDescent="0.25">
      <c r="BE121" t="s">
        <v>67</v>
      </c>
      <c r="BF121" t="s">
        <v>67</v>
      </c>
    </row>
    <row r="122" spans="57:58" x14ac:dyDescent="0.25">
      <c r="BE122" t="s">
        <v>67</v>
      </c>
      <c r="BF122" t="s">
        <v>67</v>
      </c>
    </row>
    <row r="123" spans="57:58" x14ac:dyDescent="0.25">
      <c r="BE123" t="s">
        <v>67</v>
      </c>
      <c r="BF123" t="s">
        <v>67</v>
      </c>
    </row>
    <row r="124" spans="57:58" x14ac:dyDescent="0.25">
      <c r="BE124" t="s">
        <v>67</v>
      </c>
      <c r="BF124" t="s">
        <v>67</v>
      </c>
    </row>
    <row r="125" spans="57:58" x14ac:dyDescent="0.25">
      <c r="BE125" t="s">
        <v>67</v>
      </c>
      <c r="BF125" t="s">
        <v>67</v>
      </c>
    </row>
    <row r="126" spans="57:58" x14ac:dyDescent="0.25">
      <c r="BE126" t="s">
        <v>67</v>
      </c>
      <c r="BF126" t="s">
        <v>67</v>
      </c>
    </row>
    <row r="127" spans="57:58" x14ac:dyDescent="0.25">
      <c r="BE127" t="s">
        <v>67</v>
      </c>
      <c r="BF127" t="s">
        <v>67</v>
      </c>
    </row>
    <row r="128" spans="57:58" x14ac:dyDescent="0.25">
      <c r="BE128" t="s">
        <v>67</v>
      </c>
      <c r="BF128" t="s">
        <v>67</v>
      </c>
    </row>
    <row r="129" spans="57:58" x14ac:dyDescent="0.25">
      <c r="BE129" t="s">
        <v>67</v>
      </c>
      <c r="BF129" t="s">
        <v>67</v>
      </c>
    </row>
    <row r="130" spans="57:58" x14ac:dyDescent="0.25">
      <c r="BE130" t="s">
        <v>67</v>
      </c>
      <c r="BF130" t="s">
        <v>67</v>
      </c>
    </row>
    <row r="131" spans="57:58" x14ac:dyDescent="0.25">
      <c r="BE131" t="s">
        <v>67</v>
      </c>
      <c r="BF131" t="s">
        <v>67</v>
      </c>
    </row>
    <row r="132" spans="57:58" x14ac:dyDescent="0.25">
      <c r="BE132" t="s">
        <v>67</v>
      </c>
      <c r="BF132" t="s">
        <v>67</v>
      </c>
    </row>
    <row r="133" spans="57:58" x14ac:dyDescent="0.25">
      <c r="BE133" t="s">
        <v>67</v>
      </c>
      <c r="BF133" t="s">
        <v>67</v>
      </c>
    </row>
    <row r="134" spans="57:58" x14ac:dyDescent="0.25">
      <c r="BE134" t="s">
        <v>67</v>
      </c>
      <c r="BF134" t="s">
        <v>67</v>
      </c>
    </row>
    <row r="135" spans="57:58" x14ac:dyDescent="0.25">
      <c r="BE135" t="s">
        <v>67</v>
      </c>
      <c r="BF135" t="s">
        <v>67</v>
      </c>
    </row>
    <row r="136" spans="57:58" x14ac:dyDescent="0.25">
      <c r="BE136" t="s">
        <v>67</v>
      </c>
      <c r="BF136" t="s">
        <v>67</v>
      </c>
    </row>
    <row r="137" spans="57:58" x14ac:dyDescent="0.25">
      <c r="BE137" t="s">
        <v>67</v>
      </c>
      <c r="BF137" t="s">
        <v>67</v>
      </c>
    </row>
    <row r="138" spans="57:58" x14ac:dyDescent="0.25">
      <c r="BE138" t="s">
        <v>67</v>
      </c>
      <c r="BF138" t="s">
        <v>67</v>
      </c>
    </row>
    <row r="139" spans="57:58" x14ac:dyDescent="0.25">
      <c r="BE139" t="s">
        <v>67</v>
      </c>
      <c r="BF139" t="s">
        <v>67</v>
      </c>
    </row>
    <row r="140" spans="57:58" x14ac:dyDescent="0.25">
      <c r="BE140" t="s">
        <v>67</v>
      </c>
      <c r="BF140" t="s">
        <v>67</v>
      </c>
    </row>
    <row r="141" spans="57:58" x14ac:dyDescent="0.25">
      <c r="BE141" t="s">
        <v>67</v>
      </c>
      <c r="BF141" t="s">
        <v>67</v>
      </c>
    </row>
    <row r="142" spans="57:58" x14ac:dyDescent="0.25">
      <c r="BE142" t="s">
        <v>67</v>
      </c>
      <c r="BF142" t="s">
        <v>67</v>
      </c>
    </row>
    <row r="143" spans="57:58" x14ac:dyDescent="0.25">
      <c r="BE143" t="s">
        <v>67</v>
      </c>
      <c r="BF143" t="s">
        <v>67</v>
      </c>
    </row>
    <row r="144" spans="57:58" x14ac:dyDescent="0.25">
      <c r="BE144" t="s">
        <v>67</v>
      </c>
      <c r="BF144" t="s">
        <v>67</v>
      </c>
    </row>
    <row r="145" spans="57:58" x14ac:dyDescent="0.25">
      <c r="BE145" t="s">
        <v>67</v>
      </c>
      <c r="BF145" t="s">
        <v>67</v>
      </c>
    </row>
    <row r="146" spans="57:58" x14ac:dyDescent="0.25">
      <c r="BE146" t="s">
        <v>67</v>
      </c>
      <c r="BF146" t="s">
        <v>67</v>
      </c>
    </row>
    <row r="147" spans="57:58" x14ac:dyDescent="0.25">
      <c r="BE147" t="s">
        <v>67</v>
      </c>
      <c r="BF147" t="s">
        <v>67</v>
      </c>
    </row>
    <row r="148" spans="57:58" x14ac:dyDescent="0.25">
      <c r="BE148" t="s">
        <v>67</v>
      </c>
      <c r="BF148" t="s">
        <v>67</v>
      </c>
    </row>
    <row r="149" spans="57:58" x14ac:dyDescent="0.25">
      <c r="BE149" t="s">
        <v>67</v>
      </c>
      <c r="BF149" t="s">
        <v>67</v>
      </c>
    </row>
    <row r="150" spans="57:58" x14ac:dyDescent="0.25">
      <c r="BE150" t="s">
        <v>67</v>
      </c>
      <c r="BF150" t="s">
        <v>67</v>
      </c>
    </row>
    <row r="151" spans="57:58" x14ac:dyDescent="0.25">
      <c r="BE151" t="s">
        <v>67</v>
      </c>
      <c r="BF151" t="s">
        <v>67</v>
      </c>
    </row>
    <row r="152" spans="57:58" x14ac:dyDescent="0.25">
      <c r="BE152" t="s">
        <v>67</v>
      </c>
      <c r="BF152" t="s">
        <v>67</v>
      </c>
    </row>
    <row r="153" spans="57:58" x14ac:dyDescent="0.25">
      <c r="BE153" t="s">
        <v>67</v>
      </c>
      <c r="BF153" t="s">
        <v>67</v>
      </c>
    </row>
    <row r="380" spans="57:59" x14ac:dyDescent="0.25">
      <c r="BE380">
        <v>115</v>
      </c>
    </row>
    <row r="381" spans="57:59" x14ac:dyDescent="0.25">
      <c r="BF381" t="s">
        <v>62</v>
      </c>
    </row>
    <row r="382" spans="57:59" x14ac:dyDescent="0.25">
      <c r="BF382" t="s">
        <v>63</v>
      </c>
      <c r="BG382" t="s">
        <v>61</v>
      </c>
    </row>
    <row r="383" spans="57:59" x14ac:dyDescent="0.25">
      <c r="BF383">
        <v>6</v>
      </c>
    </row>
    <row r="384" spans="57:59" x14ac:dyDescent="0.25">
      <c r="BF384">
        <v>6.1</v>
      </c>
    </row>
    <row r="385" spans="57:58" x14ac:dyDescent="0.25">
      <c r="BF385">
        <v>6.2</v>
      </c>
    </row>
    <row r="386" spans="57:58" x14ac:dyDescent="0.25">
      <c r="BF386">
        <v>6.3</v>
      </c>
    </row>
    <row r="387" spans="57:58" x14ac:dyDescent="0.25">
      <c r="BF387">
        <v>6.4</v>
      </c>
    </row>
    <row r="388" spans="57:58" x14ac:dyDescent="0.25">
      <c r="BF388">
        <v>6.5</v>
      </c>
    </row>
    <row r="389" spans="57:58" x14ac:dyDescent="0.25">
      <c r="BF389">
        <v>6.6</v>
      </c>
    </row>
    <row r="390" spans="57:58" x14ac:dyDescent="0.25">
      <c r="BF390">
        <v>6.7</v>
      </c>
    </row>
    <row r="391" spans="57:58" x14ac:dyDescent="0.25">
      <c r="BF391">
        <v>6.8</v>
      </c>
    </row>
    <row r="392" spans="57:58" x14ac:dyDescent="0.25">
      <c r="BF392">
        <v>6.9</v>
      </c>
    </row>
    <row r="393" spans="57:58" x14ac:dyDescent="0.25">
      <c r="BF393">
        <v>7</v>
      </c>
    </row>
    <row r="394" spans="57:58" x14ac:dyDescent="0.25">
      <c r="BF394">
        <v>7.1</v>
      </c>
    </row>
    <row r="395" spans="57:58" x14ac:dyDescent="0.25">
      <c r="BF395">
        <v>7.2</v>
      </c>
    </row>
    <row r="396" spans="57:58" x14ac:dyDescent="0.25">
      <c r="BF396">
        <v>7.3</v>
      </c>
    </row>
    <row r="397" spans="57:58" x14ac:dyDescent="0.25">
      <c r="BE397">
        <v>7.4</v>
      </c>
    </row>
    <row r="398" spans="57:58" x14ac:dyDescent="0.25">
      <c r="BF398" t="s">
        <v>62</v>
      </c>
    </row>
    <row r="399" spans="57:58" x14ac:dyDescent="0.25">
      <c r="BF399" t="s">
        <v>36</v>
      </c>
    </row>
    <row r="400" spans="57:58" x14ac:dyDescent="0.25">
      <c r="BF400" t="s">
        <v>23</v>
      </c>
    </row>
    <row r="401" spans="58:59" x14ac:dyDescent="0.25">
      <c r="BF401" t="s">
        <v>64</v>
      </c>
      <c r="BG401" t="s">
        <v>23</v>
      </c>
    </row>
    <row r="402" spans="58:59" x14ac:dyDescent="0.25">
      <c r="BF402" t="s">
        <v>24</v>
      </c>
      <c r="BG402" t="s">
        <v>23</v>
      </c>
    </row>
    <row r="403" spans="58:59" x14ac:dyDescent="0.25">
      <c r="BF403" t="s">
        <v>25</v>
      </c>
      <c r="BG403">
        <v>2.5299999999999998</v>
      </c>
    </row>
    <row r="404" spans="58:59" x14ac:dyDescent="0.25">
      <c r="BF404" t="s">
        <v>26</v>
      </c>
      <c r="BG404">
        <v>2.5299999999999998</v>
      </c>
    </row>
    <row r="405" spans="58:59" x14ac:dyDescent="0.25">
      <c r="BF405" t="s">
        <v>27</v>
      </c>
      <c r="BG405">
        <v>2.5299999999999998</v>
      </c>
    </row>
    <row r="406" spans="58:59" x14ac:dyDescent="0.25">
      <c r="BF406" t="s">
        <v>28</v>
      </c>
      <c r="BG406">
        <v>2.5299999999999998</v>
      </c>
    </row>
    <row r="407" spans="58:59" x14ac:dyDescent="0.25">
      <c r="BF407" t="s">
        <v>29</v>
      </c>
      <c r="BG407">
        <v>2.5299999999999998</v>
      </c>
    </row>
    <row r="408" spans="58:59" x14ac:dyDescent="0.25">
      <c r="BF408" t="s">
        <v>30</v>
      </c>
      <c r="BG408">
        <v>2.5299999999999998</v>
      </c>
    </row>
    <row r="409" spans="58:59" x14ac:dyDescent="0.25">
      <c r="BF409" t="s">
        <v>31</v>
      </c>
      <c r="BG409">
        <v>2.5299999999999998</v>
      </c>
    </row>
    <row r="410" spans="58:59" x14ac:dyDescent="0.25">
      <c r="BF410" t="s">
        <v>32</v>
      </c>
      <c r="BG410">
        <v>2.5299999999999998</v>
      </c>
    </row>
    <row r="411" spans="58:59" x14ac:dyDescent="0.25">
      <c r="BF411" t="s">
        <v>33</v>
      </c>
      <c r="BG411">
        <v>2.54</v>
      </c>
    </row>
    <row r="412" spans="58:59" x14ac:dyDescent="0.25">
      <c r="BF412" t="s">
        <v>34</v>
      </c>
      <c r="BG412">
        <v>2.54</v>
      </c>
    </row>
    <row r="413" spans="58:59" x14ac:dyDescent="0.25">
      <c r="BF413" t="s">
        <v>35</v>
      </c>
      <c r="BG413">
        <v>2.6</v>
      </c>
    </row>
    <row r="414" spans="58:59" x14ac:dyDescent="0.25">
      <c r="BF414" t="s">
        <v>51</v>
      </c>
      <c r="BG414">
        <v>2.6</v>
      </c>
    </row>
    <row r="415" spans="58:59" x14ac:dyDescent="0.25">
      <c r="BF415" t="s">
        <v>52</v>
      </c>
      <c r="BG415">
        <v>2.6</v>
      </c>
    </row>
    <row r="416" spans="58:59" x14ac:dyDescent="0.25">
      <c r="BF416" t="s">
        <v>53</v>
      </c>
      <c r="BG416">
        <v>2.67</v>
      </c>
    </row>
    <row r="417" spans="58:59" x14ac:dyDescent="0.25">
      <c r="BF417" t="s">
        <v>54</v>
      </c>
      <c r="BG417">
        <v>2.67</v>
      </c>
    </row>
    <row r="418" spans="58:59" x14ac:dyDescent="0.25">
      <c r="BF418" t="s">
        <v>55</v>
      </c>
      <c r="BG418">
        <v>2.7</v>
      </c>
    </row>
    <row r="419" spans="58:59" x14ac:dyDescent="0.25">
      <c r="BF419" t="s">
        <v>56</v>
      </c>
      <c r="BG419">
        <v>2.7</v>
      </c>
    </row>
    <row r="420" spans="58:59" x14ac:dyDescent="0.25">
      <c r="BF420" t="s">
        <v>57</v>
      </c>
      <c r="BG420">
        <v>2.7</v>
      </c>
    </row>
    <row r="421" spans="58:59" x14ac:dyDescent="0.25">
      <c r="BF421" t="s">
        <v>58</v>
      </c>
      <c r="BG421">
        <v>2.85</v>
      </c>
    </row>
    <row r="422" spans="58:59" x14ac:dyDescent="0.25">
      <c r="BF422" t="s">
        <v>59</v>
      </c>
      <c r="BG422">
        <v>2.91</v>
      </c>
    </row>
    <row r="423" spans="58:59" x14ac:dyDescent="0.25">
      <c r="BF423" t="s">
        <v>36</v>
      </c>
    </row>
    <row r="424" spans="58:59" x14ac:dyDescent="0.25">
      <c r="BF424" t="s">
        <v>37</v>
      </c>
      <c r="BG424" t="s">
        <v>23</v>
      </c>
    </row>
    <row r="425" spans="58:59" x14ac:dyDescent="0.25">
      <c r="BF425" t="s">
        <v>25</v>
      </c>
      <c r="BG425">
        <v>2.57</v>
      </c>
    </row>
    <row r="426" spans="58:59" x14ac:dyDescent="0.25">
      <c r="BF426" t="s">
        <v>26</v>
      </c>
      <c r="BG426">
        <v>2.57</v>
      </c>
    </row>
    <row r="427" spans="58:59" x14ac:dyDescent="0.25">
      <c r="BF427" t="s">
        <v>27</v>
      </c>
      <c r="BG427">
        <v>2.57</v>
      </c>
    </row>
    <row r="428" spans="58:59" x14ac:dyDescent="0.25">
      <c r="BF428" t="s">
        <v>28</v>
      </c>
      <c r="BG428">
        <v>2.57</v>
      </c>
    </row>
    <row r="429" spans="58:59" x14ac:dyDescent="0.25">
      <c r="BF429" t="s">
        <v>29</v>
      </c>
      <c r="BG429">
        <v>2.57</v>
      </c>
    </row>
    <row r="430" spans="58:59" x14ac:dyDescent="0.25">
      <c r="BF430" t="s">
        <v>30</v>
      </c>
      <c r="BG430">
        <v>2.57</v>
      </c>
    </row>
    <row r="431" spans="58:59" x14ac:dyDescent="0.25">
      <c r="BF431" t="s">
        <v>31</v>
      </c>
      <c r="BG431">
        <v>2.58</v>
      </c>
    </row>
    <row r="432" spans="58:59" x14ac:dyDescent="0.25">
      <c r="BF432" t="s">
        <v>32</v>
      </c>
      <c r="BG432">
        <v>2.58</v>
      </c>
    </row>
    <row r="433" spans="58:59" x14ac:dyDescent="0.25">
      <c r="BF433" t="s">
        <v>33</v>
      </c>
      <c r="BG433">
        <v>2.58</v>
      </c>
    </row>
    <row r="434" spans="58:59" x14ac:dyDescent="0.25">
      <c r="BF434" t="s">
        <v>34</v>
      </c>
      <c r="BG434">
        <v>2.58</v>
      </c>
    </row>
    <row r="435" spans="58:59" x14ac:dyDescent="0.25">
      <c r="BF435" t="s">
        <v>35</v>
      </c>
      <c r="BG435">
        <v>2.6</v>
      </c>
    </row>
    <row r="436" spans="58:59" x14ac:dyDescent="0.25">
      <c r="BF436" t="s">
        <v>51</v>
      </c>
      <c r="BG436">
        <v>2.6</v>
      </c>
    </row>
    <row r="437" spans="58:59" x14ac:dyDescent="0.25">
      <c r="BF437" t="s">
        <v>52</v>
      </c>
      <c r="BG437">
        <v>2.6</v>
      </c>
    </row>
    <row r="438" spans="58:59" x14ac:dyDescent="0.25">
      <c r="BF438" t="s">
        <v>53</v>
      </c>
      <c r="BG438">
        <v>2.67</v>
      </c>
    </row>
    <row r="439" spans="58:59" x14ac:dyDescent="0.25">
      <c r="BF439" t="s">
        <v>54</v>
      </c>
      <c r="BG439">
        <v>2.67</v>
      </c>
    </row>
    <row r="440" spans="58:59" x14ac:dyDescent="0.25">
      <c r="BF440" t="s">
        <v>55</v>
      </c>
      <c r="BG440">
        <v>2.7</v>
      </c>
    </row>
    <row r="441" spans="58:59" x14ac:dyDescent="0.25">
      <c r="BF441" t="s">
        <v>56</v>
      </c>
      <c r="BG441">
        <v>2.7</v>
      </c>
    </row>
    <row r="442" spans="58:59" x14ac:dyDescent="0.25">
      <c r="BF442" t="s">
        <v>57</v>
      </c>
      <c r="BG442">
        <v>2.7</v>
      </c>
    </row>
    <row r="443" spans="58:59" x14ac:dyDescent="0.25">
      <c r="BF443" t="s">
        <v>58</v>
      </c>
      <c r="BG443">
        <v>2.85</v>
      </c>
    </row>
    <row r="444" spans="58:59" x14ac:dyDescent="0.25">
      <c r="BF444" t="s">
        <v>59</v>
      </c>
      <c r="BG444">
        <v>2.91</v>
      </c>
    </row>
    <row r="445" spans="58:59" x14ac:dyDescent="0.25">
      <c r="BF445" t="s">
        <v>36</v>
      </c>
    </row>
    <row r="446" spans="58:59" x14ac:dyDescent="0.25">
      <c r="BF446" t="s">
        <v>38</v>
      </c>
      <c r="BG446" t="s">
        <v>23</v>
      </c>
    </row>
    <row r="447" spans="58:59" x14ac:dyDescent="0.25">
      <c r="BF447" t="s">
        <v>25</v>
      </c>
      <c r="BG447">
        <v>2.63</v>
      </c>
    </row>
    <row r="448" spans="58:59" x14ac:dyDescent="0.25">
      <c r="BF448" t="s">
        <v>26</v>
      </c>
      <c r="BG448">
        <v>2.63</v>
      </c>
    </row>
    <row r="449" spans="58:59" x14ac:dyDescent="0.25">
      <c r="BF449" t="s">
        <v>27</v>
      </c>
      <c r="BG449">
        <v>2.63</v>
      </c>
    </row>
    <row r="450" spans="58:59" x14ac:dyDescent="0.25">
      <c r="BF450" t="s">
        <v>28</v>
      </c>
      <c r="BG450">
        <v>2.63</v>
      </c>
    </row>
    <row r="451" spans="58:59" x14ac:dyDescent="0.25">
      <c r="BF451" t="s">
        <v>29</v>
      </c>
      <c r="BG451">
        <v>2.65</v>
      </c>
    </row>
    <row r="452" spans="58:59" x14ac:dyDescent="0.25">
      <c r="BF452" t="s">
        <v>30</v>
      </c>
      <c r="BG452">
        <v>2.66</v>
      </c>
    </row>
    <row r="453" spans="58:59" x14ac:dyDescent="0.25">
      <c r="BF453" t="s">
        <v>31</v>
      </c>
      <c r="BG453">
        <v>2.66</v>
      </c>
    </row>
    <row r="454" spans="58:59" x14ac:dyDescent="0.25">
      <c r="BF454" t="s">
        <v>32</v>
      </c>
      <c r="BG454">
        <v>2.66</v>
      </c>
    </row>
    <row r="455" spans="58:59" x14ac:dyDescent="0.25">
      <c r="BF455" t="s">
        <v>33</v>
      </c>
      <c r="BG455">
        <v>2.66</v>
      </c>
    </row>
    <row r="456" spans="58:59" x14ac:dyDescent="0.25">
      <c r="BF456" t="s">
        <v>34</v>
      </c>
      <c r="BG456">
        <v>2.66</v>
      </c>
    </row>
    <row r="457" spans="58:59" x14ac:dyDescent="0.25">
      <c r="BF457" t="s">
        <v>35</v>
      </c>
      <c r="BG457">
        <v>2.66</v>
      </c>
    </row>
    <row r="458" spans="58:59" x14ac:dyDescent="0.25">
      <c r="BF458" t="s">
        <v>51</v>
      </c>
      <c r="BG458">
        <v>2.66</v>
      </c>
    </row>
    <row r="459" spans="58:59" x14ac:dyDescent="0.25">
      <c r="BF459" t="s">
        <v>52</v>
      </c>
      <c r="BG459">
        <v>2.67</v>
      </c>
    </row>
    <row r="460" spans="58:59" x14ac:dyDescent="0.25">
      <c r="BF460" t="s">
        <v>53</v>
      </c>
      <c r="BG460">
        <v>2.67</v>
      </c>
    </row>
    <row r="461" spans="58:59" x14ac:dyDescent="0.25">
      <c r="BF461" t="s">
        <v>54</v>
      </c>
      <c r="BG461">
        <v>2.67</v>
      </c>
    </row>
    <row r="462" spans="58:59" x14ac:dyDescent="0.25">
      <c r="BF462" t="s">
        <v>55</v>
      </c>
      <c r="BG462">
        <v>2.76</v>
      </c>
    </row>
    <row r="463" spans="58:59" x14ac:dyDescent="0.25">
      <c r="BF463" t="s">
        <v>56</v>
      </c>
      <c r="BG463">
        <v>2.85</v>
      </c>
    </row>
    <row r="464" spans="58:59" x14ac:dyDescent="0.25">
      <c r="BF464" t="s">
        <v>57</v>
      </c>
      <c r="BG464">
        <v>2.85</v>
      </c>
    </row>
    <row r="465" spans="58:59" x14ac:dyDescent="0.25">
      <c r="BF465" t="s">
        <v>58</v>
      </c>
      <c r="BG465">
        <v>2.85</v>
      </c>
    </row>
    <row r="466" spans="58:59" x14ac:dyDescent="0.25">
      <c r="BF466" t="s">
        <v>59</v>
      </c>
      <c r="BG466">
        <v>2.91</v>
      </c>
    </row>
    <row r="467" spans="58:59" x14ac:dyDescent="0.25">
      <c r="BF467" t="s">
        <v>36</v>
      </c>
    </row>
    <row r="468" spans="58:59" x14ac:dyDescent="0.25">
      <c r="BF468" t="s">
        <v>39</v>
      </c>
      <c r="BG468" t="s">
        <v>23</v>
      </c>
    </row>
    <row r="469" spans="58:59" x14ac:dyDescent="0.25">
      <c r="BF469" t="s">
        <v>25</v>
      </c>
      <c r="BG469">
        <v>2.65</v>
      </c>
    </row>
    <row r="470" spans="58:59" x14ac:dyDescent="0.25">
      <c r="BF470" t="s">
        <v>26</v>
      </c>
      <c r="BG470">
        <v>2.65</v>
      </c>
    </row>
    <row r="471" spans="58:59" x14ac:dyDescent="0.25">
      <c r="BF471" t="s">
        <v>27</v>
      </c>
      <c r="BG471">
        <v>2.65</v>
      </c>
    </row>
    <row r="472" spans="58:59" x14ac:dyDescent="0.25">
      <c r="BF472" t="s">
        <v>28</v>
      </c>
      <c r="BG472">
        <v>2.65</v>
      </c>
    </row>
    <row r="473" spans="58:59" x14ac:dyDescent="0.25">
      <c r="BF473" t="s">
        <v>29</v>
      </c>
      <c r="BG473">
        <v>2.65</v>
      </c>
    </row>
    <row r="474" spans="58:59" x14ac:dyDescent="0.25">
      <c r="BF474" t="s">
        <v>30</v>
      </c>
      <c r="BG474">
        <v>2.66</v>
      </c>
    </row>
    <row r="475" spans="58:59" x14ac:dyDescent="0.25">
      <c r="BF475" t="s">
        <v>31</v>
      </c>
      <c r="BG475">
        <v>2.66</v>
      </c>
    </row>
    <row r="476" spans="58:59" x14ac:dyDescent="0.25">
      <c r="BF476" t="s">
        <v>32</v>
      </c>
      <c r="BG476">
        <v>2.66</v>
      </c>
    </row>
    <row r="477" spans="58:59" x14ac:dyDescent="0.25">
      <c r="BF477" t="s">
        <v>33</v>
      </c>
      <c r="BG477">
        <v>2.66</v>
      </c>
    </row>
    <row r="478" spans="58:59" x14ac:dyDescent="0.25">
      <c r="BF478" t="s">
        <v>34</v>
      </c>
      <c r="BG478">
        <v>2.66</v>
      </c>
    </row>
    <row r="479" spans="58:59" x14ac:dyDescent="0.25">
      <c r="BF479" t="s">
        <v>35</v>
      </c>
      <c r="BG479">
        <v>2.66</v>
      </c>
    </row>
    <row r="480" spans="58:59" x14ac:dyDescent="0.25">
      <c r="BF480" t="s">
        <v>51</v>
      </c>
      <c r="BG480">
        <v>2.66</v>
      </c>
    </row>
    <row r="481" spans="58:59" x14ac:dyDescent="0.25">
      <c r="BF481" t="s">
        <v>52</v>
      </c>
      <c r="BG481">
        <v>2.67</v>
      </c>
    </row>
    <row r="482" spans="58:59" x14ac:dyDescent="0.25">
      <c r="BF482" t="s">
        <v>53</v>
      </c>
      <c r="BG482">
        <v>2.67</v>
      </c>
    </row>
    <row r="483" spans="58:59" x14ac:dyDescent="0.25">
      <c r="BF483" t="s">
        <v>54</v>
      </c>
      <c r="BG483">
        <v>2.67</v>
      </c>
    </row>
    <row r="484" spans="58:59" x14ac:dyDescent="0.25">
      <c r="BF484" t="s">
        <v>55</v>
      </c>
      <c r="BG484">
        <v>2.76</v>
      </c>
    </row>
    <row r="485" spans="58:59" x14ac:dyDescent="0.25">
      <c r="BF485" t="s">
        <v>56</v>
      </c>
      <c r="BG485">
        <v>2.85</v>
      </c>
    </row>
    <row r="486" spans="58:59" x14ac:dyDescent="0.25">
      <c r="BF486" t="s">
        <v>57</v>
      </c>
      <c r="BG486">
        <v>2.85</v>
      </c>
    </row>
    <row r="487" spans="58:59" x14ac:dyDescent="0.25">
      <c r="BF487" t="s">
        <v>58</v>
      </c>
      <c r="BG487">
        <v>2.85</v>
      </c>
    </row>
    <row r="488" spans="58:59" x14ac:dyDescent="0.25">
      <c r="BF488" t="s">
        <v>59</v>
      </c>
      <c r="BG488">
        <v>2.91</v>
      </c>
    </row>
    <row r="489" spans="58:59" x14ac:dyDescent="0.25">
      <c r="BF489" t="s">
        <v>36</v>
      </c>
    </row>
    <row r="490" spans="58:59" x14ac:dyDescent="0.25">
      <c r="BF490" t="s">
        <v>40</v>
      </c>
      <c r="BG490" t="s">
        <v>23</v>
      </c>
    </row>
    <row r="491" spans="58:59" x14ac:dyDescent="0.25">
      <c r="BF491" t="s">
        <v>25</v>
      </c>
      <c r="BG491">
        <v>2.69</v>
      </c>
    </row>
    <row r="492" spans="58:59" x14ac:dyDescent="0.25">
      <c r="BF492" t="s">
        <v>26</v>
      </c>
      <c r="BG492">
        <v>2.69</v>
      </c>
    </row>
    <row r="493" spans="58:59" x14ac:dyDescent="0.25">
      <c r="BF493" t="s">
        <v>27</v>
      </c>
      <c r="BG493">
        <v>2.69</v>
      </c>
    </row>
    <row r="494" spans="58:59" x14ac:dyDescent="0.25">
      <c r="BF494" t="s">
        <v>28</v>
      </c>
      <c r="BG494">
        <v>2.69</v>
      </c>
    </row>
    <row r="495" spans="58:59" x14ac:dyDescent="0.25">
      <c r="BF495" t="s">
        <v>29</v>
      </c>
      <c r="BG495">
        <v>2.69</v>
      </c>
    </row>
    <row r="496" spans="58:59" x14ac:dyDescent="0.25">
      <c r="BF496" t="s">
        <v>30</v>
      </c>
      <c r="BG496">
        <v>2.71</v>
      </c>
    </row>
    <row r="497" spans="58:59" x14ac:dyDescent="0.25">
      <c r="BF497" t="s">
        <v>31</v>
      </c>
      <c r="BG497">
        <v>2.71</v>
      </c>
    </row>
    <row r="498" spans="58:59" x14ac:dyDescent="0.25">
      <c r="BF498" t="s">
        <v>32</v>
      </c>
      <c r="BG498">
        <v>2.71</v>
      </c>
    </row>
    <row r="499" spans="58:59" x14ac:dyDescent="0.25">
      <c r="BF499" t="s">
        <v>33</v>
      </c>
      <c r="BG499">
        <v>2.71</v>
      </c>
    </row>
    <row r="500" spans="58:59" x14ac:dyDescent="0.25">
      <c r="BF500" t="s">
        <v>34</v>
      </c>
      <c r="BG500">
        <v>2.71</v>
      </c>
    </row>
    <row r="501" spans="58:59" x14ac:dyDescent="0.25">
      <c r="BF501" t="s">
        <v>35</v>
      </c>
      <c r="BG501">
        <v>2.71</v>
      </c>
    </row>
    <row r="502" spans="58:59" x14ac:dyDescent="0.25">
      <c r="BF502" t="s">
        <v>51</v>
      </c>
      <c r="BG502">
        <v>2.71</v>
      </c>
    </row>
    <row r="503" spans="58:59" x14ac:dyDescent="0.25">
      <c r="BF503" t="s">
        <v>52</v>
      </c>
      <c r="BG503">
        <v>2.71</v>
      </c>
    </row>
    <row r="504" spans="58:59" x14ac:dyDescent="0.25">
      <c r="BF504" t="s">
        <v>53</v>
      </c>
      <c r="BG504">
        <v>2.76</v>
      </c>
    </row>
    <row r="505" spans="58:59" x14ac:dyDescent="0.25">
      <c r="BF505" t="s">
        <v>54</v>
      </c>
      <c r="BG505">
        <v>2.76</v>
      </c>
    </row>
    <row r="506" spans="58:59" x14ac:dyDescent="0.25">
      <c r="BF506" t="s">
        <v>55</v>
      </c>
      <c r="BG506">
        <v>2.76</v>
      </c>
    </row>
    <row r="507" spans="58:59" x14ac:dyDescent="0.25">
      <c r="BF507" t="s">
        <v>56</v>
      </c>
      <c r="BG507">
        <v>2.85</v>
      </c>
    </row>
    <row r="508" spans="58:59" x14ac:dyDescent="0.25">
      <c r="BF508" t="s">
        <v>57</v>
      </c>
      <c r="BG508">
        <v>2.85</v>
      </c>
    </row>
    <row r="509" spans="58:59" x14ac:dyDescent="0.25">
      <c r="BF509" t="s">
        <v>58</v>
      </c>
      <c r="BG509">
        <v>2.85</v>
      </c>
    </row>
    <row r="510" spans="58:59" x14ac:dyDescent="0.25">
      <c r="BF510" t="s">
        <v>59</v>
      </c>
      <c r="BG510">
        <v>3.51</v>
      </c>
    </row>
    <row r="511" spans="58:59" x14ac:dyDescent="0.25">
      <c r="BF511" t="s">
        <v>36</v>
      </c>
    </row>
    <row r="512" spans="58:59" x14ac:dyDescent="0.25">
      <c r="BF512" t="s">
        <v>41</v>
      </c>
      <c r="BG512" t="s">
        <v>23</v>
      </c>
    </row>
    <row r="513" spans="58:59" x14ac:dyDescent="0.25">
      <c r="BF513" t="s">
        <v>25</v>
      </c>
      <c r="BG513">
        <v>2.73</v>
      </c>
    </row>
    <row r="514" spans="58:59" x14ac:dyDescent="0.25">
      <c r="BF514" t="s">
        <v>26</v>
      </c>
      <c r="BG514">
        <v>2.73</v>
      </c>
    </row>
    <row r="515" spans="58:59" x14ac:dyDescent="0.25">
      <c r="BF515" t="s">
        <v>27</v>
      </c>
      <c r="BG515">
        <v>2.73</v>
      </c>
    </row>
    <row r="516" spans="58:59" x14ac:dyDescent="0.25">
      <c r="BF516" t="s">
        <v>28</v>
      </c>
      <c r="BG516">
        <v>2.73</v>
      </c>
    </row>
    <row r="517" spans="58:59" x14ac:dyDescent="0.25">
      <c r="BF517" t="s">
        <v>29</v>
      </c>
      <c r="BG517">
        <v>2.73</v>
      </c>
    </row>
    <row r="518" spans="58:59" x14ac:dyDescent="0.25">
      <c r="BF518" t="s">
        <v>30</v>
      </c>
      <c r="BG518">
        <v>2.73</v>
      </c>
    </row>
    <row r="519" spans="58:59" x14ac:dyDescent="0.25">
      <c r="BF519" t="s">
        <v>31</v>
      </c>
      <c r="BG519">
        <v>2.73</v>
      </c>
    </row>
    <row r="520" spans="58:59" x14ac:dyDescent="0.25">
      <c r="BF520" t="s">
        <v>32</v>
      </c>
      <c r="BG520">
        <v>2.75</v>
      </c>
    </row>
    <row r="521" spans="58:59" x14ac:dyDescent="0.25">
      <c r="BF521" t="s">
        <v>33</v>
      </c>
      <c r="BG521">
        <v>2.75</v>
      </c>
    </row>
    <row r="522" spans="58:59" x14ac:dyDescent="0.25">
      <c r="BF522" t="s">
        <v>34</v>
      </c>
      <c r="BG522">
        <v>2.75</v>
      </c>
    </row>
    <row r="523" spans="58:59" x14ac:dyDescent="0.25">
      <c r="BF523" t="s">
        <v>35</v>
      </c>
      <c r="BG523">
        <v>2.76</v>
      </c>
    </row>
    <row r="524" spans="58:59" x14ac:dyDescent="0.25">
      <c r="BF524" t="s">
        <v>51</v>
      </c>
      <c r="BG524">
        <v>2.76</v>
      </c>
    </row>
    <row r="525" spans="58:59" x14ac:dyDescent="0.25">
      <c r="BF525" t="s">
        <v>52</v>
      </c>
      <c r="BG525">
        <v>2.76</v>
      </c>
    </row>
    <row r="526" spans="58:59" x14ac:dyDescent="0.25">
      <c r="BF526" t="s">
        <v>53</v>
      </c>
      <c r="BG526">
        <v>2.76</v>
      </c>
    </row>
    <row r="527" spans="58:59" x14ac:dyDescent="0.25">
      <c r="BF527" t="s">
        <v>54</v>
      </c>
      <c r="BG527">
        <v>2.76</v>
      </c>
    </row>
    <row r="528" spans="58:59" x14ac:dyDescent="0.25">
      <c r="BF528" t="s">
        <v>55</v>
      </c>
      <c r="BG528">
        <v>2.76</v>
      </c>
    </row>
    <row r="529" spans="58:59" x14ac:dyDescent="0.25">
      <c r="BF529" t="s">
        <v>56</v>
      </c>
      <c r="BG529">
        <v>2.99</v>
      </c>
    </row>
    <row r="530" spans="58:59" x14ac:dyDescent="0.25">
      <c r="BF530" t="s">
        <v>57</v>
      </c>
      <c r="BG530">
        <v>3.04</v>
      </c>
    </row>
    <row r="531" spans="58:59" x14ac:dyDescent="0.25">
      <c r="BF531" t="s">
        <v>58</v>
      </c>
      <c r="BG531">
        <v>3.51</v>
      </c>
    </row>
    <row r="532" spans="58:59" x14ac:dyDescent="0.25">
      <c r="BF532" t="s">
        <v>59</v>
      </c>
      <c r="BG532">
        <v>3.51</v>
      </c>
    </row>
    <row r="533" spans="58:59" x14ac:dyDescent="0.25">
      <c r="BF533" t="s">
        <v>36</v>
      </c>
    </row>
    <row r="534" spans="58:59" x14ac:dyDescent="0.25">
      <c r="BF534" t="s">
        <v>42</v>
      </c>
      <c r="BG534" t="s">
        <v>23</v>
      </c>
    </row>
    <row r="535" spans="58:59" x14ac:dyDescent="0.25">
      <c r="BF535" t="s">
        <v>25</v>
      </c>
      <c r="BG535">
        <v>2.77</v>
      </c>
    </row>
    <row r="536" spans="58:59" x14ac:dyDescent="0.25">
      <c r="BF536" t="s">
        <v>26</v>
      </c>
      <c r="BG536">
        <v>2.77</v>
      </c>
    </row>
    <row r="537" spans="58:59" x14ac:dyDescent="0.25">
      <c r="BF537" t="s">
        <v>27</v>
      </c>
      <c r="BG537">
        <v>2.77</v>
      </c>
    </row>
    <row r="538" spans="58:59" x14ac:dyDescent="0.25">
      <c r="BF538" t="s">
        <v>28</v>
      </c>
      <c r="BG538">
        <v>2.77</v>
      </c>
    </row>
    <row r="539" spans="58:59" x14ac:dyDescent="0.25">
      <c r="BF539" t="s">
        <v>29</v>
      </c>
      <c r="BG539">
        <v>2.77</v>
      </c>
    </row>
    <row r="540" spans="58:59" x14ac:dyDescent="0.25">
      <c r="BF540" t="s">
        <v>30</v>
      </c>
      <c r="BG540">
        <v>2.77</v>
      </c>
    </row>
    <row r="541" spans="58:59" x14ac:dyDescent="0.25">
      <c r="BF541" t="s">
        <v>31</v>
      </c>
      <c r="BG541">
        <v>2.77</v>
      </c>
    </row>
    <row r="542" spans="58:59" x14ac:dyDescent="0.25">
      <c r="BF542" t="s">
        <v>32</v>
      </c>
      <c r="BG542">
        <v>2.78</v>
      </c>
    </row>
    <row r="543" spans="58:59" x14ac:dyDescent="0.25">
      <c r="BF543" t="s">
        <v>33</v>
      </c>
      <c r="BG543">
        <v>2.78</v>
      </c>
    </row>
    <row r="544" spans="58:59" x14ac:dyDescent="0.25">
      <c r="BF544" t="s">
        <v>34</v>
      </c>
      <c r="BG544">
        <v>2.78</v>
      </c>
    </row>
    <row r="545" spans="58:59" x14ac:dyDescent="0.25">
      <c r="BF545" t="s">
        <v>35</v>
      </c>
      <c r="BG545">
        <v>2.78</v>
      </c>
    </row>
    <row r="546" spans="58:59" x14ac:dyDescent="0.25">
      <c r="BF546" t="s">
        <v>51</v>
      </c>
      <c r="BG546">
        <v>2.78</v>
      </c>
    </row>
    <row r="547" spans="58:59" x14ac:dyDescent="0.25">
      <c r="BF547" t="s">
        <v>52</v>
      </c>
      <c r="BG547">
        <v>2.78</v>
      </c>
    </row>
    <row r="548" spans="58:59" x14ac:dyDescent="0.25">
      <c r="BF548" t="s">
        <v>53</v>
      </c>
      <c r="BG548">
        <v>2.79</v>
      </c>
    </row>
    <row r="549" spans="58:59" x14ac:dyDescent="0.25">
      <c r="BF549" t="s">
        <v>54</v>
      </c>
      <c r="BG549">
        <v>2.8</v>
      </c>
    </row>
    <row r="550" spans="58:59" x14ac:dyDescent="0.25">
      <c r="BF550" t="s">
        <v>55</v>
      </c>
      <c r="BG550">
        <v>2.8</v>
      </c>
    </row>
    <row r="551" spans="58:59" x14ac:dyDescent="0.25">
      <c r="BF551" t="s">
        <v>56</v>
      </c>
      <c r="BG551">
        <v>2.99</v>
      </c>
    </row>
    <row r="552" spans="58:59" x14ac:dyDescent="0.25">
      <c r="BF552" t="s">
        <v>57</v>
      </c>
      <c r="BG552">
        <v>3.04</v>
      </c>
    </row>
    <row r="553" spans="58:59" x14ac:dyDescent="0.25">
      <c r="BF553" t="s">
        <v>58</v>
      </c>
      <c r="BG553">
        <v>3.51</v>
      </c>
    </row>
    <row r="554" spans="58:59" x14ac:dyDescent="0.25">
      <c r="BF554" t="s">
        <v>59</v>
      </c>
      <c r="BG554">
        <v>3.51</v>
      </c>
    </row>
    <row r="555" spans="58:59" x14ac:dyDescent="0.25">
      <c r="BF555" t="s">
        <v>36</v>
      </c>
    </row>
    <row r="556" spans="58:59" x14ac:dyDescent="0.25">
      <c r="BF556" t="s">
        <v>43</v>
      </c>
      <c r="BG556" t="s">
        <v>23</v>
      </c>
    </row>
    <row r="557" spans="58:59" x14ac:dyDescent="0.25">
      <c r="BF557" t="s">
        <v>25</v>
      </c>
      <c r="BG557">
        <v>2.82</v>
      </c>
    </row>
    <row r="558" spans="58:59" x14ac:dyDescent="0.25">
      <c r="BF558" t="s">
        <v>26</v>
      </c>
      <c r="BG558">
        <v>2.82</v>
      </c>
    </row>
    <row r="559" spans="58:59" x14ac:dyDescent="0.25">
      <c r="BF559" t="s">
        <v>27</v>
      </c>
      <c r="BG559">
        <v>2.82</v>
      </c>
    </row>
    <row r="560" spans="58:59" x14ac:dyDescent="0.25">
      <c r="BF560" t="s">
        <v>28</v>
      </c>
      <c r="BG560">
        <v>2.82</v>
      </c>
    </row>
    <row r="561" spans="58:59" x14ac:dyDescent="0.25">
      <c r="BF561" t="s">
        <v>29</v>
      </c>
      <c r="BG561">
        <v>2.82</v>
      </c>
    </row>
    <row r="562" spans="58:59" x14ac:dyDescent="0.25">
      <c r="BF562" t="s">
        <v>30</v>
      </c>
      <c r="BG562">
        <v>2.82</v>
      </c>
    </row>
    <row r="563" spans="58:59" x14ac:dyDescent="0.25">
      <c r="BF563" t="s">
        <v>31</v>
      </c>
      <c r="BG563">
        <v>2.82</v>
      </c>
    </row>
    <row r="564" spans="58:59" x14ac:dyDescent="0.25">
      <c r="BF564" t="s">
        <v>32</v>
      </c>
      <c r="BG564">
        <v>2.82</v>
      </c>
    </row>
    <row r="565" spans="58:59" x14ac:dyDescent="0.25">
      <c r="BF565" t="s">
        <v>33</v>
      </c>
      <c r="BG565">
        <v>2.82</v>
      </c>
    </row>
    <row r="566" spans="58:59" x14ac:dyDescent="0.25">
      <c r="BF566" t="s">
        <v>34</v>
      </c>
      <c r="BG566">
        <v>2.82</v>
      </c>
    </row>
    <row r="567" spans="58:59" x14ac:dyDescent="0.25">
      <c r="BF567" t="s">
        <v>35</v>
      </c>
      <c r="BG567">
        <v>2.82</v>
      </c>
    </row>
    <row r="568" spans="58:59" x14ac:dyDescent="0.25">
      <c r="BF568" t="s">
        <v>51</v>
      </c>
      <c r="BG568">
        <v>2.82</v>
      </c>
    </row>
    <row r="569" spans="58:59" x14ac:dyDescent="0.25">
      <c r="BF569" t="s">
        <v>52</v>
      </c>
      <c r="BG569">
        <v>2.82</v>
      </c>
    </row>
    <row r="570" spans="58:59" x14ac:dyDescent="0.25">
      <c r="BF570" t="s">
        <v>53</v>
      </c>
      <c r="BG570">
        <v>2.83</v>
      </c>
    </row>
    <row r="571" spans="58:59" x14ac:dyDescent="0.25">
      <c r="BF571" t="s">
        <v>54</v>
      </c>
      <c r="BG571">
        <v>2.87</v>
      </c>
    </row>
    <row r="572" spans="58:59" x14ac:dyDescent="0.25">
      <c r="BF572" t="s">
        <v>55</v>
      </c>
      <c r="BG572">
        <v>2.87</v>
      </c>
    </row>
    <row r="573" spans="58:59" x14ac:dyDescent="0.25">
      <c r="BF573" t="s">
        <v>56</v>
      </c>
      <c r="BG573">
        <v>2.99</v>
      </c>
    </row>
    <row r="574" spans="58:59" x14ac:dyDescent="0.25">
      <c r="BF574" t="s">
        <v>57</v>
      </c>
      <c r="BG574">
        <v>3.04</v>
      </c>
    </row>
    <row r="575" spans="58:59" x14ac:dyDescent="0.25">
      <c r="BF575" t="s">
        <v>58</v>
      </c>
      <c r="BG575">
        <v>3.51</v>
      </c>
    </row>
    <row r="576" spans="58:59" x14ac:dyDescent="0.25">
      <c r="BF576" t="s">
        <v>59</v>
      </c>
      <c r="BG576">
        <v>3.51</v>
      </c>
    </row>
    <row r="577" spans="58:59" x14ac:dyDescent="0.25">
      <c r="BF577" t="s">
        <v>36</v>
      </c>
    </row>
    <row r="578" spans="58:59" x14ac:dyDescent="0.25">
      <c r="BF578" t="s">
        <v>44</v>
      </c>
      <c r="BG578" t="s">
        <v>23</v>
      </c>
    </row>
    <row r="579" spans="58:59" x14ac:dyDescent="0.25">
      <c r="BF579" t="s">
        <v>25</v>
      </c>
      <c r="BG579">
        <v>2.85</v>
      </c>
    </row>
    <row r="580" spans="58:59" x14ac:dyDescent="0.25">
      <c r="BF580" t="s">
        <v>26</v>
      </c>
      <c r="BG580">
        <v>2.85</v>
      </c>
    </row>
    <row r="581" spans="58:59" x14ac:dyDescent="0.25">
      <c r="BF581" t="s">
        <v>27</v>
      </c>
      <c r="BG581">
        <v>2.86</v>
      </c>
    </row>
    <row r="582" spans="58:59" x14ac:dyDescent="0.25">
      <c r="BF582" t="s">
        <v>28</v>
      </c>
      <c r="BG582">
        <v>2.86</v>
      </c>
    </row>
    <row r="583" spans="58:59" x14ac:dyDescent="0.25">
      <c r="BF583" t="s">
        <v>29</v>
      </c>
      <c r="BG583">
        <v>2.86</v>
      </c>
    </row>
    <row r="584" spans="58:59" x14ac:dyDescent="0.25">
      <c r="BF584" t="s">
        <v>30</v>
      </c>
      <c r="BG584">
        <v>2.86</v>
      </c>
    </row>
    <row r="585" spans="58:59" x14ac:dyDescent="0.25">
      <c r="BF585" t="s">
        <v>31</v>
      </c>
      <c r="BG585">
        <v>2.86</v>
      </c>
    </row>
    <row r="586" spans="58:59" x14ac:dyDescent="0.25">
      <c r="BF586" t="s">
        <v>32</v>
      </c>
      <c r="BG586">
        <v>2.86</v>
      </c>
    </row>
    <row r="587" spans="58:59" x14ac:dyDescent="0.25">
      <c r="BF587" t="s">
        <v>33</v>
      </c>
      <c r="BG587">
        <v>2.86</v>
      </c>
    </row>
    <row r="588" spans="58:59" x14ac:dyDescent="0.25">
      <c r="BF588" t="s">
        <v>34</v>
      </c>
      <c r="BG588">
        <v>2.86</v>
      </c>
    </row>
    <row r="589" spans="58:59" x14ac:dyDescent="0.25">
      <c r="BF589" t="s">
        <v>35</v>
      </c>
      <c r="BG589">
        <v>2.87</v>
      </c>
    </row>
    <row r="590" spans="58:59" x14ac:dyDescent="0.25">
      <c r="BF590" t="s">
        <v>51</v>
      </c>
      <c r="BG590">
        <v>2.87</v>
      </c>
    </row>
    <row r="591" spans="58:59" x14ac:dyDescent="0.25">
      <c r="BF591" t="s">
        <v>52</v>
      </c>
      <c r="BG591">
        <v>2.87</v>
      </c>
    </row>
    <row r="592" spans="58:59" x14ac:dyDescent="0.25">
      <c r="BF592" t="s">
        <v>53</v>
      </c>
      <c r="BG592">
        <v>2.87</v>
      </c>
    </row>
    <row r="593" spans="58:59" x14ac:dyDescent="0.25">
      <c r="BF593" t="s">
        <v>54</v>
      </c>
      <c r="BG593">
        <v>2.87</v>
      </c>
    </row>
    <row r="594" spans="58:59" x14ac:dyDescent="0.25">
      <c r="BF594" t="s">
        <v>55</v>
      </c>
      <c r="BG594">
        <v>2.87</v>
      </c>
    </row>
    <row r="595" spans="58:59" x14ac:dyDescent="0.25">
      <c r="BF595" t="s">
        <v>56</v>
      </c>
      <c r="BG595">
        <v>2.99</v>
      </c>
    </row>
    <row r="596" spans="58:59" x14ac:dyDescent="0.25">
      <c r="BF596" t="s">
        <v>57</v>
      </c>
      <c r="BG596">
        <v>3.04</v>
      </c>
    </row>
    <row r="597" spans="58:59" x14ac:dyDescent="0.25">
      <c r="BF597" t="s">
        <v>58</v>
      </c>
      <c r="BG597">
        <v>3.51</v>
      </c>
    </row>
    <row r="598" spans="58:59" x14ac:dyDescent="0.25">
      <c r="BF598" t="s">
        <v>59</v>
      </c>
      <c r="BG598">
        <v>3.51</v>
      </c>
    </row>
    <row r="599" spans="58:59" x14ac:dyDescent="0.25">
      <c r="BF599" t="s">
        <v>36</v>
      </c>
    </row>
    <row r="600" spans="58:59" x14ac:dyDescent="0.25">
      <c r="BF600" t="s">
        <v>45</v>
      </c>
      <c r="BG600" t="s">
        <v>23</v>
      </c>
    </row>
    <row r="601" spans="58:59" x14ac:dyDescent="0.25">
      <c r="BF601" t="s">
        <v>25</v>
      </c>
      <c r="BG601">
        <v>2.89</v>
      </c>
    </row>
    <row r="602" spans="58:59" x14ac:dyDescent="0.25">
      <c r="BF602" t="s">
        <v>26</v>
      </c>
      <c r="BG602">
        <v>2.89</v>
      </c>
    </row>
    <row r="603" spans="58:59" x14ac:dyDescent="0.25">
      <c r="BF603" t="s">
        <v>27</v>
      </c>
      <c r="BG603">
        <v>2.9</v>
      </c>
    </row>
    <row r="604" spans="58:59" x14ac:dyDescent="0.25">
      <c r="BF604" t="s">
        <v>28</v>
      </c>
      <c r="BG604">
        <v>2.9</v>
      </c>
    </row>
    <row r="605" spans="58:59" x14ac:dyDescent="0.25">
      <c r="BF605" t="s">
        <v>29</v>
      </c>
      <c r="BG605">
        <v>2.9</v>
      </c>
    </row>
    <row r="606" spans="58:59" x14ac:dyDescent="0.25">
      <c r="BF606" t="s">
        <v>30</v>
      </c>
      <c r="BG606">
        <v>2.9</v>
      </c>
    </row>
    <row r="607" spans="58:59" x14ac:dyDescent="0.25">
      <c r="BF607" t="s">
        <v>31</v>
      </c>
      <c r="BG607">
        <v>2.9</v>
      </c>
    </row>
    <row r="608" spans="58:59" x14ac:dyDescent="0.25">
      <c r="BF608" t="s">
        <v>32</v>
      </c>
      <c r="BG608">
        <v>2.9</v>
      </c>
    </row>
    <row r="609" spans="58:59" x14ac:dyDescent="0.25">
      <c r="BF609" t="s">
        <v>33</v>
      </c>
      <c r="BG609">
        <v>2.9</v>
      </c>
    </row>
    <row r="610" spans="58:59" x14ac:dyDescent="0.25">
      <c r="BF610" t="s">
        <v>34</v>
      </c>
      <c r="BG610">
        <v>2.9</v>
      </c>
    </row>
    <row r="611" spans="58:59" x14ac:dyDescent="0.25">
      <c r="BF611" t="s">
        <v>35</v>
      </c>
      <c r="BG611">
        <v>2.9</v>
      </c>
    </row>
    <row r="612" spans="58:59" x14ac:dyDescent="0.25">
      <c r="BF612" t="s">
        <v>51</v>
      </c>
      <c r="BG612">
        <v>2.9</v>
      </c>
    </row>
    <row r="613" spans="58:59" x14ac:dyDescent="0.25">
      <c r="BF613" t="s">
        <v>52</v>
      </c>
      <c r="BG613">
        <v>2.9</v>
      </c>
    </row>
    <row r="614" spans="58:59" x14ac:dyDescent="0.25">
      <c r="BF614" t="s">
        <v>53</v>
      </c>
      <c r="BG614">
        <v>2.9</v>
      </c>
    </row>
    <row r="615" spans="58:59" x14ac:dyDescent="0.25">
      <c r="BF615" t="s">
        <v>54</v>
      </c>
      <c r="BG615">
        <v>2.9</v>
      </c>
    </row>
    <row r="616" spans="58:59" x14ac:dyDescent="0.25">
      <c r="BF616" t="s">
        <v>55</v>
      </c>
      <c r="BG616">
        <v>2.9</v>
      </c>
    </row>
    <row r="617" spans="58:59" x14ac:dyDescent="0.25">
      <c r="BF617" t="s">
        <v>56</v>
      </c>
      <c r="BG617">
        <v>2.99</v>
      </c>
    </row>
    <row r="618" spans="58:59" x14ac:dyDescent="0.25">
      <c r="BF618" t="s">
        <v>57</v>
      </c>
      <c r="BG618">
        <v>3.04</v>
      </c>
    </row>
    <row r="619" spans="58:59" x14ac:dyDescent="0.25">
      <c r="BF619" t="s">
        <v>58</v>
      </c>
      <c r="BG619">
        <v>3.51</v>
      </c>
    </row>
    <row r="620" spans="58:59" x14ac:dyDescent="0.25">
      <c r="BF620" t="s">
        <v>59</v>
      </c>
      <c r="BG620">
        <v>3.51</v>
      </c>
    </row>
    <row r="621" spans="58:59" x14ac:dyDescent="0.25">
      <c r="BF621" t="s">
        <v>36</v>
      </c>
    </row>
    <row r="622" spans="58:59" x14ac:dyDescent="0.25">
      <c r="BF622" t="s">
        <v>46</v>
      </c>
      <c r="BG622" t="s">
        <v>23</v>
      </c>
    </row>
    <row r="623" spans="58:59" x14ac:dyDescent="0.25">
      <c r="BF623" t="s">
        <v>25</v>
      </c>
      <c r="BG623">
        <v>2.93</v>
      </c>
    </row>
    <row r="624" spans="58:59" x14ac:dyDescent="0.25">
      <c r="BF624" t="s">
        <v>26</v>
      </c>
      <c r="BG624">
        <v>2.93</v>
      </c>
    </row>
    <row r="625" spans="58:59" x14ac:dyDescent="0.25">
      <c r="BF625" t="s">
        <v>27</v>
      </c>
      <c r="BG625">
        <v>2.93</v>
      </c>
    </row>
    <row r="626" spans="58:59" x14ac:dyDescent="0.25">
      <c r="BF626" t="s">
        <v>28</v>
      </c>
      <c r="BG626">
        <v>2.93</v>
      </c>
    </row>
    <row r="627" spans="58:59" x14ac:dyDescent="0.25">
      <c r="BF627" t="s">
        <v>29</v>
      </c>
      <c r="BG627">
        <v>2.94</v>
      </c>
    </row>
    <row r="628" spans="58:59" x14ac:dyDescent="0.25">
      <c r="BF628" t="s">
        <v>30</v>
      </c>
      <c r="BG628">
        <v>2.94</v>
      </c>
    </row>
    <row r="629" spans="58:59" x14ac:dyDescent="0.25">
      <c r="BF629" t="s">
        <v>31</v>
      </c>
      <c r="BG629">
        <v>2.94</v>
      </c>
    </row>
    <row r="630" spans="58:59" x14ac:dyDescent="0.25">
      <c r="BF630" t="s">
        <v>32</v>
      </c>
      <c r="BG630">
        <v>2.94</v>
      </c>
    </row>
    <row r="631" spans="58:59" x14ac:dyDescent="0.25">
      <c r="BF631" t="s">
        <v>33</v>
      </c>
      <c r="BG631">
        <v>2.94</v>
      </c>
    </row>
    <row r="632" spans="58:59" x14ac:dyDescent="0.25">
      <c r="BF632" t="s">
        <v>34</v>
      </c>
      <c r="BG632">
        <v>2.94</v>
      </c>
    </row>
    <row r="633" spans="58:59" x14ac:dyDescent="0.25">
      <c r="BF633" t="s">
        <v>35</v>
      </c>
      <c r="BG633">
        <v>2.94</v>
      </c>
    </row>
    <row r="634" spans="58:59" x14ac:dyDescent="0.25">
      <c r="BF634" t="s">
        <v>51</v>
      </c>
      <c r="BG634">
        <v>2.94</v>
      </c>
    </row>
    <row r="635" spans="58:59" x14ac:dyDescent="0.25">
      <c r="BF635" t="s">
        <v>52</v>
      </c>
      <c r="BG635">
        <v>2.94</v>
      </c>
    </row>
    <row r="636" spans="58:59" x14ac:dyDescent="0.25">
      <c r="BF636" t="s">
        <v>53</v>
      </c>
      <c r="BG636">
        <v>2.94</v>
      </c>
    </row>
    <row r="637" spans="58:59" x14ac:dyDescent="0.25">
      <c r="BF637" t="s">
        <v>54</v>
      </c>
      <c r="BG637">
        <v>2.94</v>
      </c>
    </row>
    <row r="638" spans="58:59" x14ac:dyDescent="0.25">
      <c r="BF638" t="s">
        <v>55</v>
      </c>
      <c r="BG638">
        <v>2.94</v>
      </c>
    </row>
    <row r="639" spans="58:59" x14ac:dyDescent="0.25">
      <c r="BF639" t="s">
        <v>56</v>
      </c>
      <c r="BG639">
        <v>2.99</v>
      </c>
    </row>
    <row r="640" spans="58:59" x14ac:dyDescent="0.25">
      <c r="BF640" t="s">
        <v>57</v>
      </c>
      <c r="BG640">
        <v>3.04</v>
      </c>
    </row>
    <row r="641" spans="58:59" x14ac:dyDescent="0.25">
      <c r="BF641" t="s">
        <v>58</v>
      </c>
      <c r="BG641">
        <v>3.51</v>
      </c>
    </row>
    <row r="642" spans="58:59" x14ac:dyDescent="0.25">
      <c r="BF642" t="s">
        <v>59</v>
      </c>
      <c r="BG642">
        <v>3.51</v>
      </c>
    </row>
    <row r="643" spans="58:59" x14ac:dyDescent="0.25">
      <c r="BF643" t="s">
        <v>36</v>
      </c>
    </row>
    <row r="644" spans="58:59" x14ac:dyDescent="0.25">
      <c r="BF644" t="s">
        <v>47</v>
      </c>
      <c r="BG644" t="s">
        <v>23</v>
      </c>
    </row>
    <row r="645" spans="58:59" x14ac:dyDescent="0.25">
      <c r="BF645" t="s">
        <v>25</v>
      </c>
      <c r="BG645">
        <v>2.97</v>
      </c>
    </row>
    <row r="646" spans="58:59" x14ac:dyDescent="0.25">
      <c r="BF646" t="s">
        <v>26</v>
      </c>
      <c r="BG646">
        <v>2.97</v>
      </c>
    </row>
    <row r="647" spans="58:59" x14ac:dyDescent="0.25">
      <c r="BF647" t="s">
        <v>27</v>
      </c>
      <c r="BG647">
        <v>2.97</v>
      </c>
    </row>
    <row r="648" spans="58:59" x14ac:dyDescent="0.25">
      <c r="BF648" t="s">
        <v>28</v>
      </c>
      <c r="BG648">
        <v>2.97</v>
      </c>
    </row>
    <row r="649" spans="58:59" x14ac:dyDescent="0.25">
      <c r="BF649" t="s">
        <v>29</v>
      </c>
      <c r="BG649">
        <v>2.98</v>
      </c>
    </row>
    <row r="650" spans="58:59" x14ac:dyDescent="0.25">
      <c r="BF650" t="s">
        <v>30</v>
      </c>
      <c r="BG650">
        <v>2.98</v>
      </c>
    </row>
    <row r="651" spans="58:59" x14ac:dyDescent="0.25">
      <c r="BF651" t="s">
        <v>31</v>
      </c>
      <c r="BG651">
        <v>2.98</v>
      </c>
    </row>
    <row r="652" spans="58:59" x14ac:dyDescent="0.25">
      <c r="BF652" t="s">
        <v>32</v>
      </c>
      <c r="BG652">
        <v>2.98</v>
      </c>
    </row>
    <row r="653" spans="58:59" x14ac:dyDescent="0.25">
      <c r="BF653" t="s">
        <v>33</v>
      </c>
      <c r="BG653">
        <v>2.98</v>
      </c>
    </row>
    <row r="654" spans="58:59" x14ac:dyDescent="0.25">
      <c r="BF654" t="s">
        <v>34</v>
      </c>
      <c r="BG654">
        <v>2.98</v>
      </c>
    </row>
    <row r="655" spans="58:59" x14ac:dyDescent="0.25">
      <c r="BF655" t="s">
        <v>35</v>
      </c>
      <c r="BG655">
        <v>2.98</v>
      </c>
    </row>
    <row r="656" spans="58:59" x14ac:dyDescent="0.25">
      <c r="BF656" t="s">
        <v>51</v>
      </c>
      <c r="BG656">
        <v>2.98</v>
      </c>
    </row>
    <row r="657" spans="58:59" x14ac:dyDescent="0.25">
      <c r="BF657" t="s">
        <v>52</v>
      </c>
      <c r="BG657">
        <v>2.98</v>
      </c>
    </row>
    <row r="658" spans="58:59" x14ac:dyDescent="0.25">
      <c r="BF658" t="s">
        <v>53</v>
      </c>
      <c r="BG658">
        <v>2.98</v>
      </c>
    </row>
    <row r="659" spans="58:59" x14ac:dyDescent="0.25">
      <c r="BF659" t="s">
        <v>54</v>
      </c>
      <c r="BG659">
        <v>2.99</v>
      </c>
    </row>
    <row r="660" spans="58:59" x14ac:dyDescent="0.25">
      <c r="BF660" t="s">
        <v>55</v>
      </c>
      <c r="BG660">
        <v>2.99</v>
      </c>
    </row>
    <row r="661" spans="58:59" x14ac:dyDescent="0.25">
      <c r="BF661" t="s">
        <v>56</v>
      </c>
      <c r="BG661">
        <v>2.99</v>
      </c>
    </row>
    <row r="662" spans="58:59" x14ac:dyDescent="0.25">
      <c r="BF662" t="s">
        <v>57</v>
      </c>
      <c r="BG662">
        <v>3.04</v>
      </c>
    </row>
    <row r="663" spans="58:59" x14ac:dyDescent="0.25">
      <c r="BF663" t="s">
        <v>58</v>
      </c>
      <c r="BG663">
        <v>3.51</v>
      </c>
    </row>
    <row r="664" spans="58:59" x14ac:dyDescent="0.25">
      <c r="BF664" t="s">
        <v>59</v>
      </c>
      <c r="BG664">
        <v>3.51</v>
      </c>
    </row>
    <row r="665" spans="58:59" x14ac:dyDescent="0.25">
      <c r="BF665" t="s">
        <v>36</v>
      </c>
    </row>
    <row r="666" spans="58:59" x14ac:dyDescent="0.25">
      <c r="BF666" t="s">
        <v>48</v>
      </c>
      <c r="BG666" t="s">
        <v>23</v>
      </c>
    </row>
    <row r="667" spans="58:59" x14ac:dyDescent="0.25">
      <c r="BF667" t="s">
        <v>25</v>
      </c>
      <c r="BG667">
        <v>3.01</v>
      </c>
    </row>
    <row r="668" spans="58:59" x14ac:dyDescent="0.25">
      <c r="BF668" t="s">
        <v>26</v>
      </c>
      <c r="BG668">
        <v>3.01</v>
      </c>
    </row>
    <row r="669" spans="58:59" x14ac:dyDescent="0.25">
      <c r="BF669" t="s">
        <v>27</v>
      </c>
      <c r="BG669">
        <v>3.01</v>
      </c>
    </row>
    <row r="670" spans="58:59" x14ac:dyDescent="0.25">
      <c r="BF670" t="s">
        <v>28</v>
      </c>
      <c r="BG670">
        <v>3.01</v>
      </c>
    </row>
    <row r="671" spans="58:59" x14ac:dyDescent="0.25">
      <c r="BF671" t="s">
        <v>29</v>
      </c>
      <c r="BG671">
        <v>3.01</v>
      </c>
    </row>
    <row r="672" spans="58:59" x14ac:dyDescent="0.25">
      <c r="BF672" t="s">
        <v>30</v>
      </c>
      <c r="BG672">
        <v>3.01</v>
      </c>
    </row>
    <row r="673" spans="58:59" x14ac:dyDescent="0.25">
      <c r="BF673" t="s">
        <v>31</v>
      </c>
      <c r="BG673">
        <v>3.02</v>
      </c>
    </row>
    <row r="674" spans="58:59" x14ac:dyDescent="0.25">
      <c r="BF674" t="s">
        <v>32</v>
      </c>
      <c r="BG674">
        <v>3.02</v>
      </c>
    </row>
    <row r="675" spans="58:59" x14ac:dyDescent="0.25">
      <c r="BF675" t="s">
        <v>33</v>
      </c>
      <c r="BG675">
        <v>3.03</v>
      </c>
    </row>
    <row r="676" spans="58:59" x14ac:dyDescent="0.25">
      <c r="BF676" t="s">
        <v>34</v>
      </c>
      <c r="BG676">
        <v>3.03</v>
      </c>
    </row>
    <row r="677" spans="58:59" x14ac:dyDescent="0.25">
      <c r="BF677" t="s">
        <v>35</v>
      </c>
      <c r="BG677">
        <v>3.03</v>
      </c>
    </row>
    <row r="678" spans="58:59" x14ac:dyDescent="0.25">
      <c r="BF678" t="s">
        <v>51</v>
      </c>
      <c r="BG678">
        <v>3.03</v>
      </c>
    </row>
    <row r="679" spans="58:59" x14ac:dyDescent="0.25">
      <c r="BF679" t="s">
        <v>52</v>
      </c>
      <c r="BG679">
        <v>3.03</v>
      </c>
    </row>
    <row r="680" spans="58:59" x14ac:dyDescent="0.25">
      <c r="BF680" t="s">
        <v>53</v>
      </c>
      <c r="BG680">
        <v>3.03</v>
      </c>
    </row>
    <row r="681" spans="58:59" x14ac:dyDescent="0.25">
      <c r="BF681" t="s">
        <v>54</v>
      </c>
      <c r="BG681">
        <v>3.03</v>
      </c>
    </row>
    <row r="682" spans="58:59" x14ac:dyDescent="0.25">
      <c r="BF682" t="s">
        <v>55</v>
      </c>
      <c r="BG682">
        <v>3.03</v>
      </c>
    </row>
    <row r="683" spans="58:59" x14ac:dyDescent="0.25">
      <c r="BF683" t="s">
        <v>56</v>
      </c>
      <c r="BG683">
        <v>3.03</v>
      </c>
    </row>
    <row r="684" spans="58:59" x14ac:dyDescent="0.25">
      <c r="BF684" t="s">
        <v>57</v>
      </c>
      <c r="BG684">
        <v>3.04</v>
      </c>
    </row>
    <row r="685" spans="58:59" x14ac:dyDescent="0.25">
      <c r="BF685" t="s">
        <v>58</v>
      </c>
      <c r="BG685">
        <v>3.51</v>
      </c>
    </row>
    <row r="686" spans="58:59" x14ac:dyDescent="0.25">
      <c r="BF686" t="s">
        <v>59</v>
      </c>
      <c r="BG686">
        <v>3.51</v>
      </c>
    </row>
    <row r="687" spans="58:59" x14ac:dyDescent="0.25">
      <c r="BF687" t="s">
        <v>36</v>
      </c>
    </row>
    <row r="688" spans="58:59" x14ac:dyDescent="0.25">
      <c r="BF688" t="s">
        <v>49</v>
      </c>
      <c r="BG688" t="s">
        <v>23</v>
      </c>
    </row>
    <row r="689" spans="58:59" x14ac:dyDescent="0.25">
      <c r="BF689" t="s">
        <v>25</v>
      </c>
      <c r="BG689">
        <v>3.05</v>
      </c>
    </row>
    <row r="690" spans="58:59" x14ac:dyDescent="0.25">
      <c r="BF690" t="s">
        <v>26</v>
      </c>
      <c r="BG690">
        <v>3.05</v>
      </c>
    </row>
    <row r="691" spans="58:59" x14ac:dyDescent="0.25">
      <c r="BF691" t="s">
        <v>27</v>
      </c>
      <c r="BG691">
        <v>3.05</v>
      </c>
    </row>
    <row r="692" spans="58:59" x14ac:dyDescent="0.25">
      <c r="BF692" t="s">
        <v>28</v>
      </c>
      <c r="BG692">
        <v>3.05</v>
      </c>
    </row>
    <row r="693" spans="58:59" x14ac:dyDescent="0.25">
      <c r="BF693" t="s">
        <v>29</v>
      </c>
      <c r="BG693">
        <v>3.05</v>
      </c>
    </row>
    <row r="694" spans="58:59" x14ac:dyDescent="0.25">
      <c r="BF694" t="s">
        <v>30</v>
      </c>
      <c r="BG694">
        <v>3.05</v>
      </c>
    </row>
    <row r="695" spans="58:59" x14ac:dyDescent="0.25">
      <c r="BF695" t="s">
        <v>31</v>
      </c>
      <c r="BG695">
        <v>3.05</v>
      </c>
    </row>
    <row r="696" spans="58:59" x14ac:dyDescent="0.25">
      <c r="BF696" t="s">
        <v>32</v>
      </c>
      <c r="BG696">
        <v>3.05</v>
      </c>
    </row>
    <row r="697" spans="58:59" x14ac:dyDescent="0.25">
      <c r="BF697" t="s">
        <v>33</v>
      </c>
      <c r="BG697">
        <v>3.06</v>
      </c>
    </row>
    <row r="698" spans="58:59" x14ac:dyDescent="0.25">
      <c r="BF698" t="s">
        <v>34</v>
      </c>
      <c r="BG698">
        <v>3.06</v>
      </c>
    </row>
    <row r="699" spans="58:59" x14ac:dyDescent="0.25">
      <c r="BF699" t="s">
        <v>35</v>
      </c>
      <c r="BG699">
        <v>3.06</v>
      </c>
    </row>
    <row r="700" spans="58:59" x14ac:dyDescent="0.25">
      <c r="BF700" t="s">
        <v>51</v>
      </c>
      <c r="BG700">
        <v>3.06</v>
      </c>
    </row>
    <row r="701" spans="58:59" x14ac:dyDescent="0.25">
      <c r="BF701" t="s">
        <v>52</v>
      </c>
      <c r="BG701">
        <v>3.06</v>
      </c>
    </row>
    <row r="702" spans="58:59" x14ac:dyDescent="0.25">
      <c r="BF702" t="s">
        <v>53</v>
      </c>
      <c r="BG702">
        <v>3.06</v>
      </c>
    </row>
    <row r="703" spans="58:59" x14ac:dyDescent="0.25">
      <c r="BF703" t="s">
        <v>54</v>
      </c>
      <c r="BG703">
        <v>3.06</v>
      </c>
    </row>
    <row r="704" spans="58:59" x14ac:dyDescent="0.25">
      <c r="BF704" t="s">
        <v>55</v>
      </c>
      <c r="BG704">
        <v>3.06</v>
      </c>
    </row>
    <row r="705" spans="58:59" x14ac:dyDescent="0.25">
      <c r="BF705" t="s">
        <v>56</v>
      </c>
      <c r="BG705">
        <v>3.06</v>
      </c>
    </row>
    <row r="706" spans="58:59" x14ac:dyDescent="0.25">
      <c r="BF706" t="s">
        <v>57</v>
      </c>
      <c r="BG706">
        <v>3.08</v>
      </c>
    </row>
    <row r="707" spans="58:59" x14ac:dyDescent="0.25">
      <c r="BF707" t="s">
        <v>58</v>
      </c>
      <c r="BG707">
        <v>4.4800000000000004</v>
      </c>
    </row>
    <row r="708" spans="58:59" x14ac:dyDescent="0.25">
      <c r="BF708" t="s">
        <v>59</v>
      </c>
      <c r="BG708" t="s">
        <v>65</v>
      </c>
    </row>
    <row r="709" spans="58:59" x14ac:dyDescent="0.25">
      <c r="BF709" t="s">
        <v>36</v>
      </c>
    </row>
    <row r="710" spans="58:59" x14ac:dyDescent="0.25">
      <c r="BF710" t="s">
        <v>50</v>
      </c>
      <c r="BG710" t="s">
        <v>23</v>
      </c>
    </row>
    <row r="711" spans="58:59" x14ac:dyDescent="0.25">
      <c r="BF711" t="s">
        <v>25</v>
      </c>
      <c r="BG711">
        <v>3.09</v>
      </c>
    </row>
    <row r="712" spans="58:59" x14ac:dyDescent="0.25">
      <c r="BF712" t="s">
        <v>26</v>
      </c>
      <c r="BG712">
        <v>3.09</v>
      </c>
    </row>
    <row r="713" spans="58:59" x14ac:dyDescent="0.25">
      <c r="BF713" t="s">
        <v>27</v>
      </c>
      <c r="BG713">
        <v>3.09</v>
      </c>
    </row>
    <row r="714" spans="58:59" x14ac:dyDescent="0.25">
      <c r="BF714" t="s">
        <v>28</v>
      </c>
      <c r="BG714">
        <v>3.09</v>
      </c>
    </row>
    <row r="715" spans="58:59" x14ac:dyDescent="0.25">
      <c r="BF715" t="s">
        <v>29</v>
      </c>
      <c r="BG715">
        <v>3.09</v>
      </c>
    </row>
    <row r="716" spans="58:59" x14ac:dyDescent="0.25">
      <c r="BF716" t="s">
        <v>30</v>
      </c>
      <c r="BG716">
        <v>3.09</v>
      </c>
    </row>
    <row r="717" spans="58:59" x14ac:dyDescent="0.25">
      <c r="BF717" t="s">
        <v>31</v>
      </c>
      <c r="BG717">
        <v>3.1</v>
      </c>
    </row>
    <row r="718" spans="58:59" x14ac:dyDescent="0.25">
      <c r="BF718" t="s">
        <v>32</v>
      </c>
      <c r="BG718">
        <v>3.1</v>
      </c>
    </row>
    <row r="719" spans="58:59" x14ac:dyDescent="0.25">
      <c r="BF719" t="s">
        <v>33</v>
      </c>
      <c r="BG719">
        <v>3.1</v>
      </c>
    </row>
    <row r="720" spans="58:59" x14ac:dyDescent="0.25">
      <c r="BF720" t="s">
        <v>34</v>
      </c>
      <c r="BG720">
        <v>3.1</v>
      </c>
    </row>
    <row r="721" spans="58:59" x14ac:dyDescent="0.25">
      <c r="BF721" t="s">
        <v>35</v>
      </c>
      <c r="BG721">
        <v>3.1</v>
      </c>
    </row>
    <row r="722" spans="58:59" x14ac:dyDescent="0.25">
      <c r="BF722" t="s">
        <v>51</v>
      </c>
      <c r="BG722">
        <v>3.1</v>
      </c>
    </row>
    <row r="723" spans="58:59" x14ac:dyDescent="0.25">
      <c r="BF723" t="s">
        <v>52</v>
      </c>
      <c r="BG723">
        <v>3.1</v>
      </c>
    </row>
    <row r="724" spans="58:59" x14ac:dyDescent="0.25">
      <c r="BF724" t="s">
        <v>53</v>
      </c>
      <c r="BG724">
        <v>3.1</v>
      </c>
    </row>
    <row r="725" spans="58:59" x14ac:dyDescent="0.25">
      <c r="BF725" t="s">
        <v>54</v>
      </c>
      <c r="BG725">
        <v>3.1</v>
      </c>
    </row>
    <row r="726" spans="58:59" x14ac:dyDescent="0.25">
      <c r="BF726" t="s">
        <v>55</v>
      </c>
      <c r="BG726">
        <v>3.1</v>
      </c>
    </row>
    <row r="727" spans="58:59" x14ac:dyDescent="0.25">
      <c r="BF727" t="s">
        <v>56</v>
      </c>
      <c r="BG727">
        <v>3.1</v>
      </c>
    </row>
    <row r="728" spans="58:59" x14ac:dyDescent="0.25">
      <c r="BF728" t="s">
        <v>57</v>
      </c>
      <c r="BG728">
        <v>3.12</v>
      </c>
    </row>
    <row r="729" spans="58:59" x14ac:dyDescent="0.25">
      <c r="BF729" t="s">
        <v>58</v>
      </c>
      <c r="BG729">
        <v>4.4800000000000004</v>
      </c>
    </row>
    <row r="730" spans="58:59" x14ac:dyDescent="0.25">
      <c r="BF730" t="s">
        <v>59</v>
      </c>
      <c r="BG730" t="s">
        <v>65</v>
      </c>
    </row>
    <row r="731" spans="58:59" x14ac:dyDescent="0.25">
      <c r="BF731" t="s">
        <v>36</v>
      </c>
    </row>
    <row r="732" spans="58:59" x14ac:dyDescent="0.25">
      <c r="BF732" t="s">
        <v>36</v>
      </c>
    </row>
    <row r="733" spans="58:59" x14ac:dyDescent="0.25">
      <c r="BF733" t="s">
        <v>60</v>
      </c>
      <c r="BG733" t="s">
        <v>61</v>
      </c>
    </row>
    <row r="734" spans="58:59" x14ac:dyDescent="0.25">
      <c r="BF734">
        <v>20</v>
      </c>
    </row>
    <row r="735" spans="58:59" x14ac:dyDescent="0.25">
      <c r="BF735">
        <v>25</v>
      </c>
    </row>
    <row r="736" spans="58:59" x14ac:dyDescent="0.25">
      <c r="BF736">
        <v>30</v>
      </c>
    </row>
    <row r="737" spans="58:58" x14ac:dyDescent="0.25">
      <c r="BF737">
        <v>35</v>
      </c>
    </row>
    <row r="738" spans="58:58" x14ac:dyDescent="0.25">
      <c r="BF738">
        <v>40</v>
      </c>
    </row>
    <row r="739" spans="58:58" x14ac:dyDescent="0.25">
      <c r="BF739">
        <v>45</v>
      </c>
    </row>
    <row r="740" spans="58:58" x14ac:dyDescent="0.25">
      <c r="BF740">
        <v>50</v>
      </c>
    </row>
    <row r="741" spans="58:58" x14ac:dyDescent="0.25">
      <c r="BF741">
        <v>55</v>
      </c>
    </row>
    <row r="742" spans="58:58" x14ac:dyDescent="0.25">
      <c r="BF742">
        <v>60</v>
      </c>
    </row>
    <row r="743" spans="58:58" x14ac:dyDescent="0.25">
      <c r="BF743">
        <v>65</v>
      </c>
    </row>
    <row r="744" spans="58:58" x14ac:dyDescent="0.25">
      <c r="BF744">
        <v>70</v>
      </c>
    </row>
    <row r="745" spans="58:58" x14ac:dyDescent="0.25">
      <c r="BF745">
        <v>75</v>
      </c>
    </row>
    <row r="746" spans="58:58" x14ac:dyDescent="0.25">
      <c r="BF746">
        <v>80</v>
      </c>
    </row>
    <row r="747" spans="58:58" x14ac:dyDescent="0.25">
      <c r="BF747">
        <v>85</v>
      </c>
    </row>
    <row r="748" spans="58:58" x14ac:dyDescent="0.25">
      <c r="BF748">
        <v>90</v>
      </c>
    </row>
    <row r="749" spans="58:58" x14ac:dyDescent="0.25">
      <c r="BF749">
        <v>95</v>
      </c>
    </row>
    <row r="750" spans="58:58" x14ac:dyDescent="0.25">
      <c r="BF750">
        <v>100</v>
      </c>
    </row>
    <row r="751" spans="58:58" x14ac:dyDescent="0.25">
      <c r="BF751">
        <v>105</v>
      </c>
    </row>
    <row r="752" spans="58:58" x14ac:dyDescent="0.25">
      <c r="BF752">
        <v>110</v>
      </c>
    </row>
    <row r="753" spans="57:59" x14ac:dyDescent="0.25">
      <c r="BE753">
        <v>115</v>
      </c>
    </row>
    <row r="754" spans="57:59" x14ac:dyDescent="0.25">
      <c r="BF754" t="s">
        <v>62</v>
      </c>
    </row>
    <row r="755" spans="57:59" x14ac:dyDescent="0.25">
      <c r="BF755" t="s">
        <v>63</v>
      </c>
      <c r="BG755" t="s">
        <v>61</v>
      </c>
    </row>
    <row r="756" spans="57:59" x14ac:dyDescent="0.25">
      <c r="BF756">
        <v>6</v>
      </c>
    </row>
    <row r="757" spans="57:59" x14ac:dyDescent="0.25">
      <c r="BF757">
        <v>6.1</v>
      </c>
    </row>
    <row r="758" spans="57:59" x14ac:dyDescent="0.25">
      <c r="BF758">
        <v>6.2</v>
      </c>
    </row>
    <row r="759" spans="57:59" x14ac:dyDescent="0.25">
      <c r="BF759">
        <v>6.3</v>
      </c>
    </row>
    <row r="760" spans="57:59" x14ac:dyDescent="0.25">
      <c r="BF760">
        <v>6.4</v>
      </c>
    </row>
    <row r="761" spans="57:59" x14ac:dyDescent="0.25">
      <c r="BF761">
        <v>6.5</v>
      </c>
    </row>
    <row r="762" spans="57:59" x14ac:dyDescent="0.25">
      <c r="BF762">
        <v>6.6</v>
      </c>
    </row>
    <row r="763" spans="57:59" x14ac:dyDescent="0.25">
      <c r="BF763">
        <v>6.7</v>
      </c>
    </row>
    <row r="764" spans="57:59" x14ac:dyDescent="0.25">
      <c r="BF764">
        <v>6.8</v>
      </c>
    </row>
    <row r="765" spans="57:59" x14ac:dyDescent="0.25">
      <c r="BF765">
        <v>6.9</v>
      </c>
    </row>
    <row r="766" spans="57:59" x14ac:dyDescent="0.25">
      <c r="BF766">
        <v>7</v>
      </c>
    </row>
    <row r="767" spans="57:59" x14ac:dyDescent="0.25">
      <c r="BF767">
        <v>7.1</v>
      </c>
    </row>
    <row r="768" spans="57:59" x14ac:dyDescent="0.25">
      <c r="BF768">
        <v>7.2</v>
      </c>
    </row>
    <row r="769" spans="57:59" x14ac:dyDescent="0.25">
      <c r="BF769">
        <v>7.3</v>
      </c>
    </row>
    <row r="770" spans="57:59" x14ac:dyDescent="0.25">
      <c r="BE770">
        <v>7.4</v>
      </c>
    </row>
    <row r="771" spans="57:59" x14ac:dyDescent="0.25">
      <c r="BF771" t="s">
        <v>62</v>
      </c>
    </row>
    <row r="772" spans="57:59" x14ac:dyDescent="0.25">
      <c r="BF772" t="s">
        <v>36</v>
      </c>
    </row>
    <row r="773" spans="57:59" x14ac:dyDescent="0.25">
      <c r="BF773" t="s">
        <v>23</v>
      </c>
    </row>
    <row r="774" spans="57:59" x14ac:dyDescent="0.25">
      <c r="BF774" t="s">
        <v>66</v>
      </c>
      <c r="BG774" t="s">
        <v>23</v>
      </c>
    </row>
    <row r="775" spans="57:59" x14ac:dyDescent="0.25">
      <c r="BF775" t="s">
        <v>24</v>
      </c>
      <c r="BG775" t="s">
        <v>23</v>
      </c>
    </row>
    <row r="776" spans="57:59" x14ac:dyDescent="0.25">
      <c r="BF776" t="s">
        <v>25</v>
      </c>
      <c r="BG776">
        <v>1.75</v>
      </c>
    </row>
    <row r="777" spans="57:59" x14ac:dyDescent="0.25">
      <c r="BF777" t="s">
        <v>26</v>
      </c>
      <c r="BG777">
        <v>1.75</v>
      </c>
    </row>
    <row r="778" spans="57:59" x14ac:dyDescent="0.25">
      <c r="BF778" t="s">
        <v>27</v>
      </c>
      <c r="BG778">
        <v>2.17</v>
      </c>
    </row>
    <row r="779" spans="57:59" x14ac:dyDescent="0.25">
      <c r="BF779" t="s">
        <v>28</v>
      </c>
      <c r="BG779">
        <v>2.17</v>
      </c>
    </row>
    <row r="780" spans="57:59" x14ac:dyDescent="0.25">
      <c r="BF780" t="s">
        <v>29</v>
      </c>
      <c r="BG780">
        <v>2.2200000000000002</v>
      </c>
    </row>
    <row r="781" spans="57:59" x14ac:dyDescent="0.25">
      <c r="BF781" t="s">
        <v>30</v>
      </c>
      <c r="BG781">
        <v>2.2200000000000002</v>
      </c>
    </row>
    <row r="782" spans="57:59" x14ac:dyDescent="0.25">
      <c r="BF782" t="s">
        <v>31</v>
      </c>
      <c r="BG782">
        <v>2.2599999999999998</v>
      </c>
    </row>
    <row r="783" spans="57:59" x14ac:dyDescent="0.25">
      <c r="BF783" t="s">
        <v>32</v>
      </c>
      <c r="BG783">
        <v>2.2599999999999998</v>
      </c>
    </row>
    <row r="784" spans="57:59" x14ac:dyDescent="0.25">
      <c r="BF784" t="s">
        <v>33</v>
      </c>
      <c r="BG784">
        <v>2.2999999999999998</v>
      </c>
    </row>
    <row r="785" spans="58:59" x14ac:dyDescent="0.25">
      <c r="BF785" t="s">
        <v>34</v>
      </c>
      <c r="BG785">
        <v>2.2999999999999998</v>
      </c>
    </row>
    <row r="786" spans="58:59" x14ac:dyDescent="0.25">
      <c r="BF786" t="s">
        <v>35</v>
      </c>
      <c r="BG786">
        <v>2.3199999999999998</v>
      </c>
    </row>
    <row r="787" spans="58:59" x14ac:dyDescent="0.25">
      <c r="BF787" t="s">
        <v>51</v>
      </c>
      <c r="BG787">
        <v>2.3199999999999998</v>
      </c>
    </row>
    <row r="788" spans="58:59" x14ac:dyDescent="0.25">
      <c r="BF788" t="s">
        <v>52</v>
      </c>
      <c r="BG788">
        <v>2.4900000000000002</v>
      </c>
    </row>
    <row r="789" spans="58:59" x14ac:dyDescent="0.25">
      <c r="BF789" t="s">
        <v>53</v>
      </c>
      <c r="BG789">
        <v>2.4900000000000002</v>
      </c>
    </row>
    <row r="790" spans="58:59" x14ac:dyDescent="0.25">
      <c r="BF790" t="s">
        <v>54</v>
      </c>
      <c r="BG790">
        <v>2.4900000000000002</v>
      </c>
    </row>
    <row r="791" spans="58:59" x14ac:dyDescent="0.25">
      <c r="BF791" t="s">
        <v>55</v>
      </c>
      <c r="BG791">
        <v>2.4900000000000002</v>
      </c>
    </row>
    <row r="792" spans="58:59" x14ac:dyDescent="0.25">
      <c r="BF792" t="s">
        <v>56</v>
      </c>
      <c r="BG792">
        <v>2.4900000000000002</v>
      </c>
    </row>
    <row r="793" spans="58:59" x14ac:dyDescent="0.25">
      <c r="BF793" t="s">
        <v>57</v>
      </c>
      <c r="BG793">
        <v>2.63</v>
      </c>
    </row>
    <row r="794" spans="58:59" x14ac:dyDescent="0.25">
      <c r="BF794" t="s">
        <v>58</v>
      </c>
      <c r="BG794">
        <v>2.81</v>
      </c>
    </row>
    <row r="795" spans="58:59" x14ac:dyDescent="0.25">
      <c r="BF795" t="s">
        <v>59</v>
      </c>
      <c r="BG795">
        <v>3.04</v>
      </c>
    </row>
    <row r="796" spans="58:59" x14ac:dyDescent="0.25">
      <c r="BF796" t="s">
        <v>36</v>
      </c>
    </row>
    <row r="797" spans="58:59" x14ac:dyDescent="0.25">
      <c r="BF797" t="s">
        <v>37</v>
      </c>
      <c r="BG797" t="s">
        <v>23</v>
      </c>
    </row>
    <row r="798" spans="58:59" x14ac:dyDescent="0.25">
      <c r="BF798" t="s">
        <v>25</v>
      </c>
      <c r="BG798">
        <v>1.75</v>
      </c>
    </row>
    <row r="799" spans="58:59" x14ac:dyDescent="0.25">
      <c r="BF799" t="s">
        <v>26</v>
      </c>
      <c r="BG799">
        <v>1.75</v>
      </c>
    </row>
    <row r="800" spans="58:59" x14ac:dyDescent="0.25">
      <c r="BF800" t="s">
        <v>27</v>
      </c>
      <c r="BG800">
        <v>2.1800000000000002</v>
      </c>
    </row>
    <row r="801" spans="58:59" x14ac:dyDescent="0.25">
      <c r="BF801" t="s">
        <v>28</v>
      </c>
      <c r="BG801">
        <v>2.1800000000000002</v>
      </c>
    </row>
    <row r="802" spans="58:59" x14ac:dyDescent="0.25">
      <c r="BF802" t="s">
        <v>29</v>
      </c>
      <c r="BG802">
        <v>2.2599999999999998</v>
      </c>
    </row>
    <row r="803" spans="58:59" x14ac:dyDescent="0.25">
      <c r="BF803" t="s">
        <v>30</v>
      </c>
      <c r="BG803">
        <v>2.2599999999999998</v>
      </c>
    </row>
    <row r="804" spans="58:59" x14ac:dyDescent="0.25">
      <c r="BF804" t="s">
        <v>31</v>
      </c>
      <c r="BG804">
        <v>2.2799999999999998</v>
      </c>
    </row>
    <row r="805" spans="58:59" x14ac:dyDescent="0.25">
      <c r="BF805" t="s">
        <v>32</v>
      </c>
      <c r="BG805">
        <v>2.2799999999999998</v>
      </c>
    </row>
    <row r="806" spans="58:59" x14ac:dyDescent="0.25">
      <c r="BF806" t="s">
        <v>33</v>
      </c>
      <c r="BG806">
        <v>2.3199999999999998</v>
      </c>
    </row>
    <row r="807" spans="58:59" x14ac:dyDescent="0.25">
      <c r="BF807" t="s">
        <v>34</v>
      </c>
      <c r="BG807">
        <v>2.3199999999999998</v>
      </c>
    </row>
    <row r="808" spans="58:59" x14ac:dyDescent="0.25">
      <c r="BF808" t="s">
        <v>35</v>
      </c>
      <c r="BG808">
        <v>2.36</v>
      </c>
    </row>
    <row r="809" spans="58:59" x14ac:dyDescent="0.25">
      <c r="BF809" t="s">
        <v>51</v>
      </c>
      <c r="BG809">
        <v>2.36</v>
      </c>
    </row>
    <row r="810" spans="58:59" x14ac:dyDescent="0.25">
      <c r="BF810" t="s">
        <v>52</v>
      </c>
      <c r="BG810">
        <v>2.5099999999999998</v>
      </c>
    </row>
    <row r="811" spans="58:59" x14ac:dyDescent="0.25">
      <c r="BF811" t="s">
        <v>53</v>
      </c>
      <c r="BG811">
        <v>2.5099999999999998</v>
      </c>
    </row>
    <row r="812" spans="58:59" x14ac:dyDescent="0.25">
      <c r="BF812" t="s">
        <v>54</v>
      </c>
      <c r="BG812">
        <v>2.5099999999999998</v>
      </c>
    </row>
    <row r="813" spans="58:59" x14ac:dyDescent="0.25">
      <c r="BF813" t="s">
        <v>55</v>
      </c>
      <c r="BG813">
        <v>2.5099999999999998</v>
      </c>
    </row>
    <row r="814" spans="58:59" x14ac:dyDescent="0.25">
      <c r="BF814" t="s">
        <v>56</v>
      </c>
      <c r="BG814">
        <v>2.5099999999999998</v>
      </c>
    </row>
    <row r="815" spans="58:59" x14ac:dyDescent="0.25">
      <c r="BF815" t="s">
        <v>57</v>
      </c>
      <c r="BG815">
        <v>2.69</v>
      </c>
    </row>
    <row r="816" spans="58:59" x14ac:dyDescent="0.25">
      <c r="BF816" t="s">
        <v>58</v>
      </c>
      <c r="BG816">
        <v>2.81</v>
      </c>
    </row>
    <row r="817" spans="58:59" x14ac:dyDescent="0.25">
      <c r="BF817" t="s">
        <v>59</v>
      </c>
      <c r="BG817">
        <v>3.04</v>
      </c>
    </row>
    <row r="818" spans="58:59" x14ac:dyDescent="0.25">
      <c r="BF818" t="s">
        <v>36</v>
      </c>
    </row>
    <row r="819" spans="58:59" x14ac:dyDescent="0.25">
      <c r="BF819" t="s">
        <v>38</v>
      </c>
      <c r="BG819" t="s">
        <v>23</v>
      </c>
    </row>
    <row r="820" spans="58:59" x14ac:dyDescent="0.25">
      <c r="BF820" t="s">
        <v>25</v>
      </c>
      <c r="BG820">
        <v>2.11</v>
      </c>
    </row>
    <row r="821" spans="58:59" x14ac:dyDescent="0.25">
      <c r="BF821" t="s">
        <v>26</v>
      </c>
      <c r="BG821">
        <v>2.11</v>
      </c>
    </row>
    <row r="822" spans="58:59" x14ac:dyDescent="0.25">
      <c r="BF822" t="s">
        <v>27</v>
      </c>
      <c r="BG822">
        <v>2.19</v>
      </c>
    </row>
    <row r="823" spans="58:59" x14ac:dyDescent="0.25">
      <c r="BF823" t="s">
        <v>28</v>
      </c>
      <c r="BG823">
        <v>2.19</v>
      </c>
    </row>
    <row r="824" spans="58:59" x14ac:dyDescent="0.25">
      <c r="BF824" t="s">
        <v>29</v>
      </c>
      <c r="BG824">
        <v>2.2599999999999998</v>
      </c>
    </row>
    <row r="825" spans="58:59" x14ac:dyDescent="0.25">
      <c r="BF825" t="s">
        <v>30</v>
      </c>
      <c r="BG825">
        <v>2.2599999999999998</v>
      </c>
    </row>
    <row r="826" spans="58:59" x14ac:dyDescent="0.25">
      <c r="BF826" t="s">
        <v>31</v>
      </c>
      <c r="BG826">
        <v>2.36</v>
      </c>
    </row>
    <row r="827" spans="58:59" x14ac:dyDescent="0.25">
      <c r="BF827" t="s">
        <v>32</v>
      </c>
      <c r="BG827">
        <v>2.36</v>
      </c>
    </row>
    <row r="828" spans="58:59" x14ac:dyDescent="0.25">
      <c r="BF828" t="s">
        <v>33</v>
      </c>
      <c r="BG828">
        <v>2.36</v>
      </c>
    </row>
    <row r="829" spans="58:59" x14ac:dyDescent="0.25">
      <c r="BF829" t="s">
        <v>34</v>
      </c>
      <c r="BG829">
        <v>2.36</v>
      </c>
    </row>
    <row r="830" spans="58:59" x14ac:dyDescent="0.25">
      <c r="BF830" t="s">
        <v>35</v>
      </c>
      <c r="BG830">
        <v>2.36</v>
      </c>
    </row>
    <row r="831" spans="58:59" x14ac:dyDescent="0.25">
      <c r="BF831" t="s">
        <v>51</v>
      </c>
      <c r="BG831">
        <v>2.36</v>
      </c>
    </row>
    <row r="832" spans="58:59" x14ac:dyDescent="0.25">
      <c r="BF832" t="s">
        <v>52</v>
      </c>
      <c r="BG832">
        <v>2.5299999999999998</v>
      </c>
    </row>
    <row r="833" spans="58:59" x14ac:dyDescent="0.25">
      <c r="BF833" t="s">
        <v>53</v>
      </c>
      <c r="BG833">
        <v>2.5299999999999998</v>
      </c>
    </row>
    <row r="834" spans="58:59" x14ac:dyDescent="0.25">
      <c r="BF834" t="s">
        <v>54</v>
      </c>
      <c r="BG834">
        <v>2.5299999999999998</v>
      </c>
    </row>
    <row r="835" spans="58:59" x14ac:dyDescent="0.25">
      <c r="BF835" t="s">
        <v>55</v>
      </c>
      <c r="BG835">
        <v>2.57</v>
      </c>
    </row>
    <row r="836" spans="58:59" x14ac:dyDescent="0.25">
      <c r="BF836" t="s">
        <v>56</v>
      </c>
      <c r="BG836">
        <v>2.57</v>
      </c>
    </row>
    <row r="837" spans="58:59" x14ac:dyDescent="0.25">
      <c r="BF837" t="s">
        <v>57</v>
      </c>
      <c r="BG837">
        <v>2.69</v>
      </c>
    </row>
    <row r="838" spans="58:59" x14ac:dyDescent="0.25">
      <c r="BF838" t="s">
        <v>58</v>
      </c>
      <c r="BG838">
        <v>2.81</v>
      </c>
    </row>
    <row r="839" spans="58:59" x14ac:dyDescent="0.25">
      <c r="BF839" t="s">
        <v>59</v>
      </c>
      <c r="BG839">
        <v>3.04</v>
      </c>
    </row>
    <row r="840" spans="58:59" x14ac:dyDescent="0.25">
      <c r="BF840" t="s">
        <v>36</v>
      </c>
    </row>
    <row r="841" spans="58:59" x14ac:dyDescent="0.25">
      <c r="BF841" t="s">
        <v>39</v>
      </c>
      <c r="BG841" t="s">
        <v>23</v>
      </c>
    </row>
    <row r="842" spans="58:59" x14ac:dyDescent="0.25">
      <c r="BF842" t="s">
        <v>25</v>
      </c>
      <c r="BG842">
        <v>2.12</v>
      </c>
    </row>
    <row r="843" spans="58:59" x14ac:dyDescent="0.25">
      <c r="BF843" t="s">
        <v>26</v>
      </c>
      <c r="BG843">
        <v>2.12</v>
      </c>
    </row>
    <row r="844" spans="58:59" x14ac:dyDescent="0.25">
      <c r="BF844" t="s">
        <v>27</v>
      </c>
      <c r="BG844">
        <v>2.21</v>
      </c>
    </row>
    <row r="845" spans="58:59" x14ac:dyDescent="0.25">
      <c r="BF845" t="s">
        <v>28</v>
      </c>
      <c r="BG845">
        <v>2.21</v>
      </c>
    </row>
    <row r="846" spans="58:59" x14ac:dyDescent="0.25">
      <c r="BF846" t="s">
        <v>29</v>
      </c>
      <c r="BG846">
        <v>2.2799999999999998</v>
      </c>
    </row>
    <row r="847" spans="58:59" x14ac:dyDescent="0.25">
      <c r="BF847" t="s">
        <v>30</v>
      </c>
      <c r="BG847">
        <v>2.2799999999999998</v>
      </c>
    </row>
    <row r="848" spans="58:59" x14ac:dyDescent="0.25">
      <c r="BF848" t="s">
        <v>31</v>
      </c>
      <c r="BG848">
        <v>2.36</v>
      </c>
    </row>
    <row r="849" spans="58:59" x14ac:dyDescent="0.25">
      <c r="BF849" t="s">
        <v>32</v>
      </c>
      <c r="BG849">
        <v>2.36</v>
      </c>
    </row>
    <row r="850" spans="58:59" x14ac:dyDescent="0.25">
      <c r="BF850" t="s">
        <v>33</v>
      </c>
      <c r="BG850">
        <v>2.36</v>
      </c>
    </row>
    <row r="851" spans="58:59" x14ac:dyDescent="0.25">
      <c r="BF851" t="s">
        <v>34</v>
      </c>
      <c r="BG851">
        <v>2.36</v>
      </c>
    </row>
    <row r="852" spans="58:59" x14ac:dyDescent="0.25">
      <c r="BF852" t="s">
        <v>35</v>
      </c>
      <c r="BG852">
        <v>2.5499999999999998</v>
      </c>
    </row>
    <row r="853" spans="58:59" x14ac:dyDescent="0.25">
      <c r="BF853" t="s">
        <v>51</v>
      </c>
      <c r="BG853">
        <v>2.5499999999999998</v>
      </c>
    </row>
    <row r="854" spans="58:59" x14ac:dyDescent="0.25">
      <c r="BF854" t="s">
        <v>52</v>
      </c>
      <c r="BG854">
        <v>2.5499999999999998</v>
      </c>
    </row>
    <row r="855" spans="58:59" x14ac:dyDescent="0.25">
      <c r="BF855" t="s">
        <v>53</v>
      </c>
      <c r="BG855">
        <v>2.5499999999999998</v>
      </c>
    </row>
    <row r="856" spans="58:59" x14ac:dyDescent="0.25">
      <c r="BF856" t="s">
        <v>54</v>
      </c>
      <c r="BG856">
        <v>2.5499999999999998</v>
      </c>
    </row>
    <row r="857" spans="58:59" x14ac:dyDescent="0.25">
      <c r="BF857" t="s">
        <v>55</v>
      </c>
      <c r="BG857">
        <v>2.57</v>
      </c>
    </row>
    <row r="858" spans="58:59" x14ac:dyDescent="0.25">
      <c r="BF858" t="s">
        <v>56</v>
      </c>
      <c r="BG858">
        <v>2.57</v>
      </c>
    </row>
    <row r="859" spans="58:59" x14ac:dyDescent="0.25">
      <c r="BF859" t="s">
        <v>57</v>
      </c>
      <c r="BG859">
        <v>2.69</v>
      </c>
    </row>
    <row r="860" spans="58:59" x14ac:dyDescent="0.25">
      <c r="BF860" t="s">
        <v>58</v>
      </c>
      <c r="BG860">
        <v>2.82</v>
      </c>
    </row>
    <row r="861" spans="58:59" x14ac:dyDescent="0.25">
      <c r="BF861" t="s">
        <v>59</v>
      </c>
      <c r="BG861">
        <v>3.04</v>
      </c>
    </row>
    <row r="862" spans="58:59" x14ac:dyDescent="0.25">
      <c r="BF862" t="s">
        <v>36</v>
      </c>
    </row>
    <row r="863" spans="58:59" x14ac:dyDescent="0.25">
      <c r="BF863" t="s">
        <v>40</v>
      </c>
      <c r="BG863" t="s">
        <v>23</v>
      </c>
    </row>
    <row r="864" spans="58:59" x14ac:dyDescent="0.25">
      <c r="BF864" t="s">
        <v>25</v>
      </c>
      <c r="BG864">
        <v>2.13</v>
      </c>
    </row>
    <row r="865" spans="58:59" x14ac:dyDescent="0.25">
      <c r="BF865" t="s">
        <v>26</v>
      </c>
      <c r="BG865">
        <v>2.13</v>
      </c>
    </row>
    <row r="866" spans="58:59" x14ac:dyDescent="0.25">
      <c r="BF866" t="s">
        <v>27</v>
      </c>
      <c r="BG866">
        <v>2.23</v>
      </c>
    </row>
    <row r="867" spans="58:59" x14ac:dyDescent="0.25">
      <c r="BF867" t="s">
        <v>28</v>
      </c>
      <c r="BG867">
        <v>2.23</v>
      </c>
    </row>
    <row r="868" spans="58:59" x14ac:dyDescent="0.25">
      <c r="BF868" t="s">
        <v>29</v>
      </c>
      <c r="BG868">
        <v>2.3199999999999998</v>
      </c>
    </row>
    <row r="869" spans="58:59" x14ac:dyDescent="0.25">
      <c r="BF869" t="s">
        <v>30</v>
      </c>
      <c r="BG869">
        <v>2.3199999999999998</v>
      </c>
    </row>
    <row r="870" spans="58:59" x14ac:dyDescent="0.25">
      <c r="BF870" t="s">
        <v>31</v>
      </c>
      <c r="BG870">
        <v>2.57</v>
      </c>
    </row>
    <row r="871" spans="58:59" x14ac:dyDescent="0.25">
      <c r="BF871" t="s">
        <v>32</v>
      </c>
      <c r="BG871">
        <v>2.57</v>
      </c>
    </row>
    <row r="872" spans="58:59" x14ac:dyDescent="0.25">
      <c r="BF872" t="s">
        <v>33</v>
      </c>
      <c r="BG872">
        <v>2.57</v>
      </c>
    </row>
    <row r="873" spans="58:59" x14ac:dyDescent="0.25">
      <c r="BF873" t="s">
        <v>34</v>
      </c>
      <c r="BG873">
        <v>2.57</v>
      </c>
    </row>
    <row r="874" spans="58:59" x14ac:dyDescent="0.25">
      <c r="BF874" t="s">
        <v>35</v>
      </c>
      <c r="BG874">
        <v>2.57</v>
      </c>
    </row>
    <row r="875" spans="58:59" x14ac:dyDescent="0.25">
      <c r="BF875" t="s">
        <v>51</v>
      </c>
      <c r="BG875">
        <v>2.57</v>
      </c>
    </row>
    <row r="876" spans="58:59" x14ac:dyDescent="0.25">
      <c r="BF876" t="s">
        <v>52</v>
      </c>
      <c r="BG876">
        <v>2.57</v>
      </c>
    </row>
    <row r="877" spans="58:59" x14ac:dyDescent="0.25">
      <c r="BF877" t="s">
        <v>53</v>
      </c>
      <c r="BG877">
        <v>2.57</v>
      </c>
    </row>
    <row r="878" spans="58:59" x14ac:dyDescent="0.25">
      <c r="BF878" t="s">
        <v>54</v>
      </c>
      <c r="BG878">
        <v>2.57</v>
      </c>
    </row>
    <row r="879" spans="58:59" x14ac:dyDescent="0.25">
      <c r="BF879" t="s">
        <v>55</v>
      </c>
      <c r="BG879">
        <v>2.57</v>
      </c>
    </row>
    <row r="880" spans="58:59" x14ac:dyDescent="0.25">
      <c r="BF880" t="s">
        <v>56</v>
      </c>
      <c r="BG880">
        <v>2.57</v>
      </c>
    </row>
    <row r="881" spans="58:59" x14ac:dyDescent="0.25">
      <c r="BF881" t="s">
        <v>57</v>
      </c>
      <c r="BG881">
        <v>2.71</v>
      </c>
    </row>
    <row r="882" spans="58:59" x14ac:dyDescent="0.25">
      <c r="BF882" t="s">
        <v>58</v>
      </c>
      <c r="BG882">
        <v>2.84</v>
      </c>
    </row>
    <row r="883" spans="58:59" x14ac:dyDescent="0.25">
      <c r="BF883" t="s">
        <v>59</v>
      </c>
      <c r="BG883">
        <v>3.04</v>
      </c>
    </row>
    <row r="884" spans="58:59" x14ac:dyDescent="0.25">
      <c r="BF884" t="s">
        <v>36</v>
      </c>
    </row>
    <row r="885" spans="58:59" x14ac:dyDescent="0.25">
      <c r="BF885" t="s">
        <v>41</v>
      </c>
      <c r="BG885" t="s">
        <v>23</v>
      </c>
    </row>
    <row r="886" spans="58:59" x14ac:dyDescent="0.25">
      <c r="BF886" t="s">
        <v>25</v>
      </c>
      <c r="BG886">
        <v>2.14</v>
      </c>
    </row>
    <row r="887" spans="58:59" x14ac:dyDescent="0.25">
      <c r="BF887" t="s">
        <v>26</v>
      </c>
      <c r="BG887">
        <v>2.14</v>
      </c>
    </row>
    <row r="888" spans="58:59" x14ac:dyDescent="0.25">
      <c r="BF888" t="s">
        <v>27</v>
      </c>
      <c r="BG888">
        <v>2.2999999999999998</v>
      </c>
    </row>
    <row r="889" spans="58:59" x14ac:dyDescent="0.25">
      <c r="BF889" t="s">
        <v>28</v>
      </c>
      <c r="BG889">
        <v>2.2999999999999998</v>
      </c>
    </row>
    <row r="890" spans="58:59" x14ac:dyDescent="0.25">
      <c r="BF890" t="s">
        <v>29</v>
      </c>
      <c r="BG890">
        <v>2.3199999999999998</v>
      </c>
    </row>
    <row r="891" spans="58:59" x14ac:dyDescent="0.25">
      <c r="BF891" t="s">
        <v>30</v>
      </c>
      <c r="BG891">
        <v>2.3199999999999998</v>
      </c>
    </row>
    <row r="892" spans="58:59" x14ac:dyDescent="0.25">
      <c r="BF892" t="s">
        <v>31</v>
      </c>
      <c r="BG892">
        <v>2.59</v>
      </c>
    </row>
    <row r="893" spans="58:59" x14ac:dyDescent="0.25">
      <c r="BF893" t="s">
        <v>32</v>
      </c>
      <c r="BG893">
        <v>2.59</v>
      </c>
    </row>
    <row r="894" spans="58:59" x14ac:dyDescent="0.25">
      <c r="BF894" t="s">
        <v>33</v>
      </c>
      <c r="BG894">
        <v>2.59</v>
      </c>
    </row>
    <row r="895" spans="58:59" x14ac:dyDescent="0.25">
      <c r="BF895" t="s">
        <v>34</v>
      </c>
      <c r="BG895">
        <v>2.59</v>
      </c>
    </row>
    <row r="896" spans="58:59" x14ac:dyDescent="0.25">
      <c r="BF896" t="s">
        <v>35</v>
      </c>
      <c r="BG896">
        <v>2.59</v>
      </c>
    </row>
    <row r="897" spans="58:59" x14ac:dyDescent="0.25">
      <c r="BF897" t="s">
        <v>51</v>
      </c>
      <c r="BG897">
        <v>2.59</v>
      </c>
    </row>
    <row r="898" spans="58:59" x14ac:dyDescent="0.25">
      <c r="BF898" t="s">
        <v>52</v>
      </c>
      <c r="BG898">
        <v>2.59</v>
      </c>
    </row>
    <row r="899" spans="58:59" x14ac:dyDescent="0.25">
      <c r="BF899" t="s">
        <v>53</v>
      </c>
      <c r="BG899">
        <v>2.59</v>
      </c>
    </row>
    <row r="900" spans="58:59" x14ac:dyDescent="0.25">
      <c r="BF900" t="s">
        <v>54</v>
      </c>
      <c r="BG900">
        <v>2.59</v>
      </c>
    </row>
    <row r="901" spans="58:59" x14ac:dyDescent="0.25">
      <c r="BF901" t="s">
        <v>55</v>
      </c>
      <c r="BG901">
        <v>2.74</v>
      </c>
    </row>
    <row r="902" spans="58:59" x14ac:dyDescent="0.25">
      <c r="BF902" t="s">
        <v>56</v>
      </c>
      <c r="BG902">
        <v>2.77</v>
      </c>
    </row>
    <row r="903" spans="58:59" x14ac:dyDescent="0.25">
      <c r="BF903" t="s">
        <v>57</v>
      </c>
      <c r="BG903">
        <v>2.77</v>
      </c>
    </row>
    <row r="904" spans="58:59" x14ac:dyDescent="0.25">
      <c r="BF904" t="s">
        <v>58</v>
      </c>
      <c r="BG904">
        <v>2.86</v>
      </c>
    </row>
    <row r="905" spans="58:59" x14ac:dyDescent="0.25">
      <c r="BF905" t="s">
        <v>59</v>
      </c>
      <c r="BG905">
        <v>3.04</v>
      </c>
    </row>
    <row r="906" spans="58:59" x14ac:dyDescent="0.25">
      <c r="BF906" t="s">
        <v>36</v>
      </c>
    </row>
    <row r="907" spans="58:59" x14ac:dyDescent="0.25">
      <c r="BF907" t="s">
        <v>42</v>
      </c>
      <c r="BG907" t="s">
        <v>23</v>
      </c>
    </row>
    <row r="908" spans="58:59" x14ac:dyDescent="0.25">
      <c r="BF908" t="s">
        <v>25</v>
      </c>
      <c r="BG908">
        <v>2.16</v>
      </c>
    </row>
    <row r="909" spans="58:59" x14ac:dyDescent="0.25">
      <c r="BF909" t="s">
        <v>26</v>
      </c>
      <c r="BG909">
        <v>2.16</v>
      </c>
    </row>
    <row r="910" spans="58:59" x14ac:dyDescent="0.25">
      <c r="BF910" t="s">
        <v>27</v>
      </c>
      <c r="BG910">
        <v>2.2999999999999998</v>
      </c>
    </row>
    <row r="911" spans="58:59" x14ac:dyDescent="0.25">
      <c r="BF911" t="s">
        <v>28</v>
      </c>
      <c r="BG911">
        <v>2.2999999999999998</v>
      </c>
    </row>
    <row r="912" spans="58:59" x14ac:dyDescent="0.25">
      <c r="BF912" t="s">
        <v>29</v>
      </c>
      <c r="BG912">
        <v>2.62</v>
      </c>
    </row>
    <row r="913" spans="58:59" x14ac:dyDescent="0.25">
      <c r="BF913" t="s">
        <v>30</v>
      </c>
      <c r="BG913">
        <v>2.62</v>
      </c>
    </row>
    <row r="914" spans="58:59" x14ac:dyDescent="0.25">
      <c r="BF914" t="s">
        <v>31</v>
      </c>
      <c r="BG914">
        <v>2.62</v>
      </c>
    </row>
    <row r="915" spans="58:59" x14ac:dyDescent="0.25">
      <c r="BF915" t="s">
        <v>32</v>
      </c>
      <c r="BG915">
        <v>2.62</v>
      </c>
    </row>
    <row r="916" spans="58:59" x14ac:dyDescent="0.25">
      <c r="BF916" t="s">
        <v>33</v>
      </c>
      <c r="BG916">
        <v>2.62</v>
      </c>
    </row>
    <row r="917" spans="58:59" x14ac:dyDescent="0.25">
      <c r="BF917" t="s">
        <v>34</v>
      </c>
      <c r="BG917">
        <v>2.62</v>
      </c>
    </row>
    <row r="918" spans="58:59" x14ac:dyDescent="0.25">
      <c r="BF918" t="s">
        <v>35</v>
      </c>
      <c r="BG918">
        <v>2.62</v>
      </c>
    </row>
    <row r="919" spans="58:59" x14ac:dyDescent="0.25">
      <c r="BF919" t="s">
        <v>51</v>
      </c>
      <c r="BG919">
        <v>2.62</v>
      </c>
    </row>
    <row r="920" spans="58:59" x14ac:dyDescent="0.25">
      <c r="BF920" t="s">
        <v>52</v>
      </c>
      <c r="BG920">
        <v>2.62</v>
      </c>
    </row>
    <row r="921" spans="58:59" x14ac:dyDescent="0.25">
      <c r="BF921" t="s">
        <v>53</v>
      </c>
      <c r="BG921">
        <v>2.77</v>
      </c>
    </row>
    <row r="922" spans="58:59" x14ac:dyDescent="0.25">
      <c r="BF922" t="s">
        <v>54</v>
      </c>
      <c r="BG922">
        <v>2.77</v>
      </c>
    </row>
    <row r="923" spans="58:59" x14ac:dyDescent="0.25">
      <c r="BF923" t="s">
        <v>55</v>
      </c>
      <c r="BG923">
        <v>2.77</v>
      </c>
    </row>
    <row r="924" spans="58:59" x14ac:dyDescent="0.25">
      <c r="BF924" t="s">
        <v>56</v>
      </c>
      <c r="BG924">
        <v>2.77</v>
      </c>
    </row>
    <row r="925" spans="58:59" x14ac:dyDescent="0.25">
      <c r="BF925" t="s">
        <v>57</v>
      </c>
      <c r="BG925">
        <v>2.77</v>
      </c>
    </row>
    <row r="926" spans="58:59" x14ac:dyDescent="0.25">
      <c r="BF926" t="s">
        <v>58</v>
      </c>
      <c r="BG926">
        <v>2.89</v>
      </c>
    </row>
    <row r="927" spans="58:59" x14ac:dyDescent="0.25">
      <c r="BF927" t="s">
        <v>59</v>
      </c>
      <c r="BG927">
        <v>3.04</v>
      </c>
    </row>
    <row r="928" spans="58:59" x14ac:dyDescent="0.25">
      <c r="BF928" t="s">
        <v>36</v>
      </c>
    </row>
    <row r="929" spans="58:59" x14ac:dyDescent="0.25">
      <c r="BF929" t="s">
        <v>43</v>
      </c>
      <c r="BG929" t="s">
        <v>23</v>
      </c>
    </row>
    <row r="930" spans="58:59" x14ac:dyDescent="0.25">
      <c r="BF930" t="s">
        <v>25</v>
      </c>
      <c r="BG930">
        <v>2.1800000000000002</v>
      </c>
    </row>
    <row r="931" spans="58:59" x14ac:dyDescent="0.25">
      <c r="BF931" t="s">
        <v>26</v>
      </c>
      <c r="BG931">
        <v>2.1800000000000002</v>
      </c>
    </row>
    <row r="932" spans="58:59" x14ac:dyDescent="0.25">
      <c r="BF932" t="s">
        <v>27</v>
      </c>
      <c r="BG932">
        <v>2.2999999999999998</v>
      </c>
    </row>
    <row r="933" spans="58:59" x14ac:dyDescent="0.25">
      <c r="BF933" t="s">
        <v>28</v>
      </c>
      <c r="BG933">
        <v>2.2999999999999998</v>
      </c>
    </row>
    <row r="934" spans="58:59" x14ac:dyDescent="0.25">
      <c r="BF934" t="s">
        <v>29</v>
      </c>
      <c r="BG934">
        <v>2.64</v>
      </c>
    </row>
    <row r="935" spans="58:59" x14ac:dyDescent="0.25">
      <c r="BF935" t="s">
        <v>30</v>
      </c>
      <c r="BG935">
        <v>2.64</v>
      </c>
    </row>
    <row r="936" spans="58:59" x14ac:dyDescent="0.25">
      <c r="BF936" t="s">
        <v>31</v>
      </c>
      <c r="BG936">
        <v>2.64</v>
      </c>
    </row>
    <row r="937" spans="58:59" x14ac:dyDescent="0.25">
      <c r="BF937" t="s">
        <v>32</v>
      </c>
      <c r="BG937">
        <v>2.64</v>
      </c>
    </row>
    <row r="938" spans="58:59" x14ac:dyDescent="0.25">
      <c r="BF938" t="s">
        <v>33</v>
      </c>
      <c r="BG938">
        <v>2.64</v>
      </c>
    </row>
    <row r="939" spans="58:59" x14ac:dyDescent="0.25">
      <c r="BF939" t="s">
        <v>34</v>
      </c>
      <c r="BG939">
        <v>2.64</v>
      </c>
    </row>
    <row r="940" spans="58:59" x14ac:dyDescent="0.25">
      <c r="BF940" t="s">
        <v>35</v>
      </c>
      <c r="BG940">
        <v>2.64</v>
      </c>
    </row>
    <row r="941" spans="58:59" x14ac:dyDescent="0.25">
      <c r="BF941" t="s">
        <v>51</v>
      </c>
      <c r="BG941">
        <v>2.77</v>
      </c>
    </row>
    <row r="942" spans="58:59" x14ac:dyDescent="0.25">
      <c r="BF942" t="s">
        <v>52</v>
      </c>
      <c r="BG942">
        <v>2.77</v>
      </c>
    </row>
    <row r="943" spans="58:59" x14ac:dyDescent="0.25">
      <c r="BF943" t="s">
        <v>53</v>
      </c>
      <c r="BG943">
        <v>2.77</v>
      </c>
    </row>
    <row r="944" spans="58:59" x14ac:dyDescent="0.25">
      <c r="BF944" t="s">
        <v>54</v>
      </c>
      <c r="BG944">
        <v>2.77</v>
      </c>
    </row>
    <row r="945" spans="58:59" x14ac:dyDescent="0.25">
      <c r="BF945" t="s">
        <v>55</v>
      </c>
      <c r="BG945">
        <v>2.77</v>
      </c>
    </row>
    <row r="946" spans="58:59" x14ac:dyDescent="0.25">
      <c r="BF946" t="s">
        <v>56</v>
      </c>
      <c r="BG946">
        <v>2.77</v>
      </c>
    </row>
    <row r="947" spans="58:59" x14ac:dyDescent="0.25">
      <c r="BF947" t="s">
        <v>57</v>
      </c>
      <c r="BG947">
        <v>2.77</v>
      </c>
    </row>
    <row r="948" spans="58:59" x14ac:dyDescent="0.25">
      <c r="BF948" t="s">
        <v>58</v>
      </c>
      <c r="BG948">
        <v>2.91</v>
      </c>
    </row>
    <row r="949" spans="58:59" x14ac:dyDescent="0.25">
      <c r="BF949" t="s">
        <v>59</v>
      </c>
      <c r="BG949">
        <v>3.04</v>
      </c>
    </row>
    <row r="950" spans="58:59" x14ac:dyDescent="0.25">
      <c r="BF950" t="s">
        <v>36</v>
      </c>
    </row>
    <row r="951" spans="58:59" x14ac:dyDescent="0.25">
      <c r="BF951" t="s">
        <v>44</v>
      </c>
      <c r="BG951" t="s">
        <v>23</v>
      </c>
    </row>
    <row r="952" spans="58:59" x14ac:dyDescent="0.25">
      <c r="BF952" t="s">
        <v>25</v>
      </c>
      <c r="BG952">
        <v>2.23</v>
      </c>
    </row>
    <row r="953" spans="58:59" x14ac:dyDescent="0.25">
      <c r="BF953" t="s">
        <v>26</v>
      </c>
      <c r="BG953">
        <v>2.23</v>
      </c>
    </row>
    <row r="954" spans="58:59" x14ac:dyDescent="0.25">
      <c r="BF954" t="s">
        <v>27</v>
      </c>
      <c r="BG954">
        <v>2.66</v>
      </c>
    </row>
    <row r="955" spans="58:59" x14ac:dyDescent="0.25">
      <c r="BF955" t="s">
        <v>28</v>
      </c>
      <c r="BG955">
        <v>2.68</v>
      </c>
    </row>
    <row r="956" spans="58:59" x14ac:dyDescent="0.25">
      <c r="BF956" t="s">
        <v>29</v>
      </c>
      <c r="BG956">
        <v>2.68</v>
      </c>
    </row>
    <row r="957" spans="58:59" x14ac:dyDescent="0.25">
      <c r="BF957" t="s">
        <v>30</v>
      </c>
      <c r="BG957">
        <v>2.68</v>
      </c>
    </row>
    <row r="958" spans="58:59" x14ac:dyDescent="0.25">
      <c r="BF958" t="s">
        <v>31</v>
      </c>
      <c r="BG958">
        <v>2.68</v>
      </c>
    </row>
    <row r="959" spans="58:59" x14ac:dyDescent="0.25">
      <c r="BF959" t="s">
        <v>32</v>
      </c>
      <c r="BG959">
        <v>2.68</v>
      </c>
    </row>
    <row r="960" spans="58:59" x14ac:dyDescent="0.25">
      <c r="BF960" t="s">
        <v>33</v>
      </c>
      <c r="BG960">
        <v>2.68</v>
      </c>
    </row>
    <row r="961" spans="58:59" x14ac:dyDescent="0.25">
      <c r="BF961" t="s">
        <v>34</v>
      </c>
      <c r="BG961">
        <v>2.88</v>
      </c>
    </row>
    <row r="962" spans="58:59" x14ac:dyDescent="0.25">
      <c r="BF962" t="s">
        <v>35</v>
      </c>
      <c r="BG962">
        <v>2.88</v>
      </c>
    </row>
    <row r="963" spans="58:59" x14ac:dyDescent="0.25">
      <c r="BF963" t="s">
        <v>51</v>
      </c>
      <c r="BG963">
        <v>2.88</v>
      </c>
    </row>
    <row r="964" spans="58:59" x14ac:dyDescent="0.25">
      <c r="BF964" t="s">
        <v>52</v>
      </c>
      <c r="BG964">
        <v>2.88</v>
      </c>
    </row>
    <row r="965" spans="58:59" x14ac:dyDescent="0.25">
      <c r="BF965" t="s">
        <v>53</v>
      </c>
      <c r="BG965">
        <v>2.88</v>
      </c>
    </row>
    <row r="966" spans="58:59" x14ac:dyDescent="0.25">
      <c r="BF966" t="s">
        <v>54</v>
      </c>
      <c r="BG966">
        <v>2.93</v>
      </c>
    </row>
    <row r="967" spans="58:59" x14ac:dyDescent="0.25">
      <c r="BF967" t="s">
        <v>55</v>
      </c>
      <c r="BG967">
        <v>2.93</v>
      </c>
    </row>
    <row r="968" spans="58:59" x14ac:dyDescent="0.25">
      <c r="BF968" t="s">
        <v>56</v>
      </c>
      <c r="BG968">
        <v>2.93</v>
      </c>
    </row>
    <row r="969" spans="58:59" x14ac:dyDescent="0.25">
      <c r="BF969" t="s">
        <v>57</v>
      </c>
      <c r="BG969">
        <v>2.93</v>
      </c>
    </row>
    <row r="970" spans="58:59" x14ac:dyDescent="0.25">
      <c r="BF970" t="s">
        <v>58</v>
      </c>
      <c r="BG970">
        <v>2.93</v>
      </c>
    </row>
    <row r="971" spans="58:59" x14ac:dyDescent="0.25">
      <c r="BF971" t="s">
        <v>59</v>
      </c>
      <c r="BG971">
        <v>3.11</v>
      </c>
    </row>
    <row r="972" spans="58:59" x14ac:dyDescent="0.25">
      <c r="BF972" t="s">
        <v>36</v>
      </c>
    </row>
    <row r="973" spans="58:59" x14ac:dyDescent="0.25">
      <c r="BF973" t="s">
        <v>45</v>
      </c>
      <c r="BG973" t="s">
        <v>23</v>
      </c>
    </row>
    <row r="974" spans="58:59" x14ac:dyDescent="0.25">
      <c r="BF974" t="s">
        <v>25</v>
      </c>
      <c r="BG974">
        <v>2.23</v>
      </c>
    </row>
    <row r="975" spans="58:59" x14ac:dyDescent="0.25">
      <c r="BF975" t="s">
        <v>26</v>
      </c>
      <c r="BG975">
        <v>2.23</v>
      </c>
    </row>
    <row r="976" spans="58:59" x14ac:dyDescent="0.25">
      <c r="BF976" t="s">
        <v>27</v>
      </c>
      <c r="BG976">
        <v>2.68</v>
      </c>
    </row>
    <row r="977" spans="58:59" x14ac:dyDescent="0.25">
      <c r="BF977" t="s">
        <v>28</v>
      </c>
      <c r="BG977">
        <v>2.68</v>
      </c>
    </row>
    <row r="978" spans="58:59" x14ac:dyDescent="0.25">
      <c r="BF978" t="s">
        <v>29</v>
      </c>
      <c r="BG978">
        <v>2.68</v>
      </c>
    </row>
    <row r="979" spans="58:59" x14ac:dyDescent="0.25">
      <c r="BF979" t="s">
        <v>30</v>
      </c>
      <c r="BG979">
        <v>2.68</v>
      </c>
    </row>
    <row r="980" spans="58:59" x14ac:dyDescent="0.25">
      <c r="BF980" t="s">
        <v>31</v>
      </c>
      <c r="BG980">
        <v>2.68</v>
      </c>
    </row>
    <row r="981" spans="58:59" x14ac:dyDescent="0.25">
      <c r="BF981" t="s">
        <v>32</v>
      </c>
      <c r="BG981">
        <v>2.68</v>
      </c>
    </row>
    <row r="982" spans="58:59" x14ac:dyDescent="0.25">
      <c r="BF982" t="s">
        <v>33</v>
      </c>
      <c r="BG982">
        <v>2.68</v>
      </c>
    </row>
    <row r="983" spans="58:59" x14ac:dyDescent="0.25">
      <c r="BF983" t="s">
        <v>34</v>
      </c>
      <c r="BG983">
        <v>2.88</v>
      </c>
    </row>
    <row r="984" spans="58:59" x14ac:dyDescent="0.25">
      <c r="BF984" t="s">
        <v>35</v>
      </c>
      <c r="BG984">
        <v>2.88</v>
      </c>
    </row>
    <row r="985" spans="58:59" x14ac:dyDescent="0.25">
      <c r="BF985" t="s">
        <v>51</v>
      </c>
      <c r="BG985">
        <v>2.88</v>
      </c>
    </row>
    <row r="986" spans="58:59" x14ac:dyDescent="0.25">
      <c r="BF986" t="s">
        <v>52</v>
      </c>
      <c r="BG986">
        <v>2.88</v>
      </c>
    </row>
    <row r="987" spans="58:59" x14ac:dyDescent="0.25">
      <c r="BF987" t="s">
        <v>53</v>
      </c>
      <c r="BG987">
        <v>2.88</v>
      </c>
    </row>
    <row r="988" spans="58:59" x14ac:dyDescent="0.25">
      <c r="BF988" t="s">
        <v>54</v>
      </c>
      <c r="BG988">
        <v>2.98</v>
      </c>
    </row>
    <row r="989" spans="58:59" x14ac:dyDescent="0.25">
      <c r="BF989" t="s">
        <v>55</v>
      </c>
      <c r="BG989">
        <v>2.98</v>
      </c>
    </row>
    <row r="990" spans="58:59" x14ac:dyDescent="0.25">
      <c r="BF990" t="s">
        <v>56</v>
      </c>
      <c r="BG990">
        <v>2.98</v>
      </c>
    </row>
    <row r="991" spans="58:59" x14ac:dyDescent="0.25">
      <c r="BF991" t="s">
        <v>57</v>
      </c>
      <c r="BG991">
        <v>2.98</v>
      </c>
    </row>
    <row r="992" spans="58:59" x14ac:dyDescent="0.25">
      <c r="BF992" t="s">
        <v>58</v>
      </c>
      <c r="BG992">
        <v>2.98</v>
      </c>
    </row>
    <row r="993" spans="58:59" x14ac:dyDescent="0.25">
      <c r="BF993" t="s">
        <v>59</v>
      </c>
      <c r="BG993">
        <v>3.11</v>
      </c>
    </row>
    <row r="994" spans="58:59" x14ac:dyDescent="0.25">
      <c r="BF994" t="s">
        <v>36</v>
      </c>
    </row>
    <row r="995" spans="58:59" x14ac:dyDescent="0.25">
      <c r="BF995" t="s">
        <v>46</v>
      </c>
      <c r="BG995" t="s">
        <v>23</v>
      </c>
    </row>
    <row r="996" spans="58:59" x14ac:dyDescent="0.25">
      <c r="BF996" t="s">
        <v>25</v>
      </c>
      <c r="BG996">
        <v>2.31</v>
      </c>
    </row>
    <row r="997" spans="58:59" x14ac:dyDescent="0.25">
      <c r="BF997" t="s">
        <v>26</v>
      </c>
      <c r="BG997">
        <v>2.31</v>
      </c>
    </row>
    <row r="998" spans="58:59" x14ac:dyDescent="0.25">
      <c r="BF998" t="s">
        <v>27</v>
      </c>
      <c r="BG998">
        <v>2.71</v>
      </c>
    </row>
    <row r="999" spans="58:59" x14ac:dyDescent="0.25">
      <c r="BF999" t="s">
        <v>28</v>
      </c>
      <c r="BG999">
        <v>2.71</v>
      </c>
    </row>
    <row r="1000" spans="58:59" x14ac:dyDescent="0.25">
      <c r="BF1000" t="s">
        <v>29</v>
      </c>
      <c r="BG1000">
        <v>2.71</v>
      </c>
    </row>
    <row r="1001" spans="58:59" x14ac:dyDescent="0.25">
      <c r="BF1001" t="s">
        <v>30</v>
      </c>
      <c r="BG1001">
        <v>2.76</v>
      </c>
    </row>
    <row r="1002" spans="58:59" x14ac:dyDescent="0.25">
      <c r="BF1002" t="s">
        <v>31</v>
      </c>
      <c r="BG1002">
        <v>2.76</v>
      </c>
    </row>
    <row r="1003" spans="58:59" x14ac:dyDescent="0.25">
      <c r="BF1003" t="s">
        <v>32</v>
      </c>
      <c r="BG1003">
        <v>2.88</v>
      </c>
    </row>
    <row r="1004" spans="58:59" x14ac:dyDescent="0.25">
      <c r="BF1004" t="s">
        <v>33</v>
      </c>
      <c r="BG1004">
        <v>2.88</v>
      </c>
    </row>
    <row r="1005" spans="58:59" x14ac:dyDescent="0.25">
      <c r="BF1005" t="s">
        <v>34</v>
      </c>
      <c r="BG1005">
        <v>2.88</v>
      </c>
    </row>
    <row r="1006" spans="58:59" x14ac:dyDescent="0.25">
      <c r="BF1006" t="s">
        <v>35</v>
      </c>
      <c r="BG1006">
        <v>2.88</v>
      </c>
    </row>
    <row r="1007" spans="58:59" x14ac:dyDescent="0.25">
      <c r="BF1007" t="s">
        <v>51</v>
      </c>
      <c r="BG1007">
        <v>2.88</v>
      </c>
    </row>
    <row r="1008" spans="58:59" x14ac:dyDescent="0.25">
      <c r="BF1008" t="s">
        <v>52</v>
      </c>
      <c r="BG1008">
        <v>2.88</v>
      </c>
    </row>
    <row r="1009" spans="58:59" x14ac:dyDescent="0.25">
      <c r="BF1009" t="s">
        <v>53</v>
      </c>
      <c r="BG1009">
        <v>2.88</v>
      </c>
    </row>
    <row r="1010" spans="58:59" x14ac:dyDescent="0.25">
      <c r="BF1010" t="s">
        <v>54</v>
      </c>
      <c r="BG1010">
        <v>2.98</v>
      </c>
    </row>
    <row r="1011" spans="58:59" x14ac:dyDescent="0.25">
      <c r="BF1011" t="s">
        <v>55</v>
      </c>
      <c r="BG1011">
        <v>2.98</v>
      </c>
    </row>
    <row r="1012" spans="58:59" x14ac:dyDescent="0.25">
      <c r="BF1012" t="s">
        <v>56</v>
      </c>
      <c r="BG1012">
        <v>2.98</v>
      </c>
    </row>
    <row r="1013" spans="58:59" x14ac:dyDescent="0.25">
      <c r="BF1013" t="s">
        <v>57</v>
      </c>
      <c r="BG1013">
        <v>2.98</v>
      </c>
    </row>
    <row r="1014" spans="58:59" x14ac:dyDescent="0.25">
      <c r="BF1014" t="s">
        <v>58</v>
      </c>
      <c r="BG1014">
        <v>2.98</v>
      </c>
    </row>
    <row r="1015" spans="58:59" x14ac:dyDescent="0.25">
      <c r="BF1015" t="s">
        <v>59</v>
      </c>
      <c r="BG1015">
        <v>3.11</v>
      </c>
    </row>
    <row r="1016" spans="58:59" x14ac:dyDescent="0.25">
      <c r="BF1016" t="s">
        <v>36</v>
      </c>
    </row>
    <row r="1017" spans="58:59" x14ac:dyDescent="0.25">
      <c r="BF1017" t="s">
        <v>47</v>
      </c>
      <c r="BG1017" t="s">
        <v>23</v>
      </c>
    </row>
    <row r="1018" spans="58:59" x14ac:dyDescent="0.25">
      <c r="BF1018" t="s">
        <v>25</v>
      </c>
      <c r="BG1018">
        <v>2.31</v>
      </c>
    </row>
    <row r="1019" spans="58:59" x14ac:dyDescent="0.25">
      <c r="BF1019" t="s">
        <v>26</v>
      </c>
      <c r="BG1019">
        <v>2.31</v>
      </c>
    </row>
    <row r="1020" spans="58:59" x14ac:dyDescent="0.25">
      <c r="BF1020" t="s">
        <v>27</v>
      </c>
      <c r="BG1020">
        <v>2.73</v>
      </c>
    </row>
    <row r="1021" spans="58:59" x14ac:dyDescent="0.25">
      <c r="BF1021" t="s">
        <v>28</v>
      </c>
      <c r="BG1021">
        <v>2.76</v>
      </c>
    </row>
    <row r="1022" spans="58:59" x14ac:dyDescent="0.25">
      <c r="BF1022" t="s">
        <v>29</v>
      </c>
      <c r="BG1022">
        <v>2.76</v>
      </c>
    </row>
    <row r="1023" spans="58:59" x14ac:dyDescent="0.25">
      <c r="BF1023" t="s">
        <v>30</v>
      </c>
      <c r="BG1023">
        <v>2.76</v>
      </c>
    </row>
    <row r="1024" spans="58:59" x14ac:dyDescent="0.25">
      <c r="BF1024" t="s">
        <v>31</v>
      </c>
      <c r="BG1024">
        <v>2.76</v>
      </c>
    </row>
    <row r="1025" spans="58:59" x14ac:dyDescent="0.25">
      <c r="BF1025" t="s">
        <v>32</v>
      </c>
      <c r="BG1025">
        <v>2.95</v>
      </c>
    </row>
    <row r="1026" spans="58:59" x14ac:dyDescent="0.25">
      <c r="BF1026" t="s">
        <v>33</v>
      </c>
      <c r="BG1026">
        <v>2.95</v>
      </c>
    </row>
    <row r="1027" spans="58:59" x14ac:dyDescent="0.25">
      <c r="BF1027" t="s">
        <v>34</v>
      </c>
      <c r="BG1027">
        <v>2.95</v>
      </c>
    </row>
    <row r="1028" spans="58:59" x14ac:dyDescent="0.25">
      <c r="BF1028" t="s">
        <v>35</v>
      </c>
      <c r="BG1028">
        <v>2.95</v>
      </c>
    </row>
    <row r="1029" spans="58:59" x14ac:dyDescent="0.25">
      <c r="BF1029" t="s">
        <v>51</v>
      </c>
      <c r="BG1029">
        <v>2.95</v>
      </c>
    </row>
    <row r="1030" spans="58:59" x14ac:dyDescent="0.25">
      <c r="BF1030" t="s">
        <v>52</v>
      </c>
      <c r="BG1030">
        <v>3.07</v>
      </c>
    </row>
    <row r="1031" spans="58:59" x14ac:dyDescent="0.25">
      <c r="BF1031" t="s">
        <v>53</v>
      </c>
      <c r="BG1031">
        <v>3.07</v>
      </c>
    </row>
    <row r="1032" spans="58:59" x14ac:dyDescent="0.25">
      <c r="BF1032" t="s">
        <v>54</v>
      </c>
      <c r="BG1032">
        <v>3.07</v>
      </c>
    </row>
    <row r="1033" spans="58:59" x14ac:dyDescent="0.25">
      <c r="BF1033" t="s">
        <v>55</v>
      </c>
      <c r="BG1033">
        <v>3.18</v>
      </c>
    </row>
    <row r="1034" spans="58:59" x14ac:dyDescent="0.25">
      <c r="BF1034" t="s">
        <v>56</v>
      </c>
      <c r="BG1034">
        <v>3.18</v>
      </c>
    </row>
    <row r="1035" spans="58:59" x14ac:dyDescent="0.25">
      <c r="BF1035" t="s">
        <v>57</v>
      </c>
      <c r="BG1035">
        <v>3.18</v>
      </c>
    </row>
    <row r="1036" spans="58:59" x14ac:dyDescent="0.25">
      <c r="BF1036" t="s">
        <v>58</v>
      </c>
      <c r="BG1036">
        <v>3.33</v>
      </c>
    </row>
    <row r="1037" spans="58:59" x14ac:dyDescent="0.25">
      <c r="BF1037" t="s">
        <v>59</v>
      </c>
      <c r="BG1037">
        <v>3.48</v>
      </c>
    </row>
    <row r="1038" spans="58:59" x14ac:dyDescent="0.25">
      <c r="BF1038" t="s">
        <v>36</v>
      </c>
    </row>
    <row r="1039" spans="58:59" x14ac:dyDescent="0.25">
      <c r="BF1039" t="s">
        <v>48</v>
      </c>
      <c r="BG1039" t="s">
        <v>23</v>
      </c>
    </row>
    <row r="1040" spans="58:59" x14ac:dyDescent="0.25">
      <c r="BF1040" t="s">
        <v>25</v>
      </c>
      <c r="BG1040">
        <v>2.31</v>
      </c>
    </row>
    <row r="1041" spans="58:59" x14ac:dyDescent="0.25">
      <c r="BF1041" t="s">
        <v>26</v>
      </c>
      <c r="BG1041">
        <v>2.31</v>
      </c>
    </row>
    <row r="1042" spans="58:59" x14ac:dyDescent="0.25">
      <c r="BF1042" t="s">
        <v>27</v>
      </c>
      <c r="BG1042">
        <v>2.76</v>
      </c>
    </row>
    <row r="1043" spans="58:59" x14ac:dyDescent="0.25">
      <c r="BF1043" t="s">
        <v>28</v>
      </c>
      <c r="BG1043">
        <v>2.76</v>
      </c>
    </row>
    <row r="1044" spans="58:59" x14ac:dyDescent="0.25">
      <c r="BF1044" t="s">
        <v>29</v>
      </c>
      <c r="BG1044">
        <v>2.76</v>
      </c>
    </row>
    <row r="1045" spans="58:59" x14ac:dyDescent="0.25">
      <c r="BF1045" t="s">
        <v>30</v>
      </c>
      <c r="BG1045">
        <v>2.76</v>
      </c>
    </row>
    <row r="1046" spans="58:59" x14ac:dyDescent="0.25">
      <c r="BF1046" t="s">
        <v>31</v>
      </c>
      <c r="BG1046">
        <v>2.76</v>
      </c>
    </row>
    <row r="1047" spans="58:59" x14ac:dyDescent="0.25">
      <c r="BF1047" t="s">
        <v>32</v>
      </c>
      <c r="BG1047">
        <v>2.95</v>
      </c>
    </row>
    <row r="1048" spans="58:59" x14ac:dyDescent="0.25">
      <c r="BF1048" t="s">
        <v>33</v>
      </c>
      <c r="BG1048">
        <v>2.95</v>
      </c>
    </row>
    <row r="1049" spans="58:59" x14ac:dyDescent="0.25">
      <c r="BF1049" t="s">
        <v>34</v>
      </c>
      <c r="BG1049">
        <v>2.95</v>
      </c>
    </row>
    <row r="1050" spans="58:59" x14ac:dyDescent="0.25">
      <c r="BF1050" t="s">
        <v>35</v>
      </c>
      <c r="BG1050">
        <v>2.95</v>
      </c>
    </row>
    <row r="1051" spans="58:59" x14ac:dyDescent="0.25">
      <c r="BF1051" t="s">
        <v>51</v>
      </c>
      <c r="BG1051">
        <v>2.95</v>
      </c>
    </row>
    <row r="1052" spans="58:59" x14ac:dyDescent="0.25">
      <c r="BF1052" t="s">
        <v>52</v>
      </c>
      <c r="BG1052">
        <v>3.12</v>
      </c>
    </row>
    <row r="1053" spans="58:59" x14ac:dyDescent="0.25">
      <c r="BF1053" t="s">
        <v>53</v>
      </c>
      <c r="BG1053">
        <v>3.12</v>
      </c>
    </row>
    <row r="1054" spans="58:59" x14ac:dyDescent="0.25">
      <c r="BF1054" t="s">
        <v>54</v>
      </c>
      <c r="BG1054">
        <v>3.12</v>
      </c>
    </row>
    <row r="1055" spans="58:59" x14ac:dyDescent="0.25">
      <c r="BF1055" t="s">
        <v>55</v>
      </c>
      <c r="BG1055">
        <v>3.23</v>
      </c>
    </row>
    <row r="1056" spans="58:59" x14ac:dyDescent="0.25">
      <c r="BF1056" t="s">
        <v>56</v>
      </c>
      <c r="BG1056">
        <v>3.23</v>
      </c>
    </row>
    <row r="1057" spans="58:59" x14ac:dyDescent="0.25">
      <c r="BF1057" t="s">
        <v>57</v>
      </c>
      <c r="BG1057">
        <v>3.23</v>
      </c>
    </row>
    <row r="1058" spans="58:59" x14ac:dyDescent="0.25">
      <c r="BF1058" t="s">
        <v>58</v>
      </c>
      <c r="BG1058">
        <v>3.36</v>
      </c>
    </row>
    <row r="1059" spans="58:59" x14ac:dyDescent="0.25">
      <c r="BF1059" t="s">
        <v>59</v>
      </c>
      <c r="BG1059">
        <v>3.51</v>
      </c>
    </row>
    <row r="1060" spans="58:59" x14ac:dyDescent="0.25">
      <c r="BF1060" t="s">
        <v>36</v>
      </c>
    </row>
    <row r="1061" spans="58:59" x14ac:dyDescent="0.25">
      <c r="BF1061" t="s">
        <v>49</v>
      </c>
      <c r="BG1061" t="s">
        <v>23</v>
      </c>
    </row>
    <row r="1062" spans="58:59" x14ac:dyDescent="0.25">
      <c r="BF1062" t="s">
        <v>25</v>
      </c>
      <c r="BG1062">
        <v>2.78</v>
      </c>
    </row>
    <row r="1063" spans="58:59" x14ac:dyDescent="0.25">
      <c r="BF1063" t="s">
        <v>26</v>
      </c>
      <c r="BG1063">
        <v>2.78</v>
      </c>
    </row>
    <row r="1064" spans="58:59" x14ac:dyDescent="0.25">
      <c r="BF1064" t="s">
        <v>27</v>
      </c>
      <c r="BG1064">
        <v>2.78</v>
      </c>
    </row>
    <row r="1065" spans="58:59" x14ac:dyDescent="0.25">
      <c r="BF1065" t="s">
        <v>28</v>
      </c>
      <c r="BG1065">
        <v>2.78</v>
      </c>
    </row>
    <row r="1066" spans="58:59" x14ac:dyDescent="0.25">
      <c r="BF1066" t="s">
        <v>29</v>
      </c>
      <c r="BG1066">
        <v>2.78</v>
      </c>
    </row>
    <row r="1067" spans="58:59" x14ac:dyDescent="0.25">
      <c r="BF1067" t="s">
        <v>30</v>
      </c>
      <c r="BG1067">
        <v>3.03</v>
      </c>
    </row>
    <row r="1068" spans="58:59" x14ac:dyDescent="0.25">
      <c r="BF1068" t="s">
        <v>31</v>
      </c>
      <c r="BG1068">
        <v>3.03</v>
      </c>
    </row>
    <row r="1069" spans="58:59" x14ac:dyDescent="0.25">
      <c r="BF1069" t="s">
        <v>32</v>
      </c>
      <c r="BG1069">
        <v>3.03</v>
      </c>
    </row>
    <row r="1070" spans="58:59" x14ac:dyDescent="0.25">
      <c r="BF1070" t="s">
        <v>33</v>
      </c>
      <c r="BG1070">
        <v>3.03</v>
      </c>
    </row>
    <row r="1071" spans="58:59" x14ac:dyDescent="0.25">
      <c r="BF1071" t="s">
        <v>34</v>
      </c>
      <c r="BG1071">
        <v>3.03</v>
      </c>
    </row>
    <row r="1072" spans="58:59" x14ac:dyDescent="0.25">
      <c r="BF1072" t="s">
        <v>35</v>
      </c>
      <c r="BG1072">
        <v>3.12</v>
      </c>
    </row>
    <row r="1073" spans="58:59" x14ac:dyDescent="0.25">
      <c r="BF1073" t="s">
        <v>51</v>
      </c>
      <c r="BG1073">
        <v>3.12</v>
      </c>
    </row>
    <row r="1074" spans="58:59" x14ac:dyDescent="0.25">
      <c r="BF1074" t="s">
        <v>52</v>
      </c>
      <c r="BG1074">
        <v>3.12</v>
      </c>
    </row>
    <row r="1075" spans="58:59" x14ac:dyDescent="0.25">
      <c r="BF1075" t="s">
        <v>53</v>
      </c>
      <c r="BG1075">
        <v>3.12</v>
      </c>
    </row>
    <row r="1076" spans="58:59" x14ac:dyDescent="0.25">
      <c r="BF1076" t="s">
        <v>54</v>
      </c>
      <c r="BG1076">
        <v>3.12</v>
      </c>
    </row>
    <row r="1077" spans="58:59" x14ac:dyDescent="0.25">
      <c r="BF1077" t="s">
        <v>55</v>
      </c>
      <c r="BG1077">
        <v>3.23</v>
      </c>
    </row>
    <row r="1078" spans="58:59" x14ac:dyDescent="0.25">
      <c r="BF1078" t="s">
        <v>56</v>
      </c>
      <c r="BG1078">
        <v>3.23</v>
      </c>
    </row>
    <row r="1079" spans="58:59" x14ac:dyDescent="0.25">
      <c r="BF1079" t="s">
        <v>57</v>
      </c>
      <c r="BG1079">
        <v>3.23</v>
      </c>
    </row>
    <row r="1080" spans="58:59" x14ac:dyDescent="0.25">
      <c r="BF1080" t="s">
        <v>58</v>
      </c>
      <c r="BG1080">
        <v>3.41</v>
      </c>
    </row>
    <row r="1081" spans="58:59" x14ac:dyDescent="0.25">
      <c r="BF1081" t="s">
        <v>59</v>
      </c>
      <c r="BG1081">
        <v>3.56</v>
      </c>
    </row>
    <row r="1082" spans="58:59" x14ac:dyDescent="0.25">
      <c r="BF1082" t="s">
        <v>36</v>
      </c>
    </row>
    <row r="1083" spans="58:59" x14ac:dyDescent="0.25">
      <c r="BF1083" t="s">
        <v>50</v>
      </c>
      <c r="BG1083" t="s">
        <v>23</v>
      </c>
    </row>
    <row r="1084" spans="58:59" x14ac:dyDescent="0.25">
      <c r="BF1084" t="s">
        <v>25</v>
      </c>
      <c r="BG1084">
        <v>2.81</v>
      </c>
    </row>
    <row r="1085" spans="58:59" x14ac:dyDescent="0.25">
      <c r="BF1085" t="s">
        <v>26</v>
      </c>
      <c r="BG1085">
        <v>2.81</v>
      </c>
    </row>
    <row r="1086" spans="58:59" x14ac:dyDescent="0.25">
      <c r="BF1086" t="s">
        <v>27</v>
      </c>
      <c r="BG1086">
        <v>2.81</v>
      </c>
    </row>
    <row r="1087" spans="58:59" x14ac:dyDescent="0.25">
      <c r="BF1087" t="s">
        <v>28</v>
      </c>
      <c r="BG1087">
        <v>2.81</v>
      </c>
    </row>
    <row r="1088" spans="58:59" x14ac:dyDescent="0.25">
      <c r="BF1088" t="s">
        <v>29</v>
      </c>
      <c r="BG1088">
        <v>2.81</v>
      </c>
    </row>
    <row r="1089" spans="58:59" x14ac:dyDescent="0.25">
      <c r="BF1089" t="s">
        <v>30</v>
      </c>
      <c r="BG1089">
        <v>3.03</v>
      </c>
    </row>
    <row r="1090" spans="58:59" x14ac:dyDescent="0.25">
      <c r="BF1090" t="s">
        <v>31</v>
      </c>
      <c r="BG1090">
        <v>3.03</v>
      </c>
    </row>
    <row r="1091" spans="58:59" x14ac:dyDescent="0.25">
      <c r="BF1091" t="s">
        <v>32</v>
      </c>
      <c r="BG1091">
        <v>3.03</v>
      </c>
    </row>
    <row r="1092" spans="58:59" x14ac:dyDescent="0.25">
      <c r="BF1092" t="s">
        <v>33</v>
      </c>
      <c r="BG1092">
        <v>3.03</v>
      </c>
    </row>
    <row r="1093" spans="58:59" x14ac:dyDescent="0.25">
      <c r="BF1093" t="s">
        <v>34</v>
      </c>
      <c r="BG1093">
        <v>3.03</v>
      </c>
    </row>
    <row r="1094" spans="58:59" x14ac:dyDescent="0.25">
      <c r="BF1094" t="s">
        <v>35</v>
      </c>
      <c r="BG1094">
        <v>3.32</v>
      </c>
    </row>
    <row r="1095" spans="58:59" x14ac:dyDescent="0.25">
      <c r="BF1095" t="s">
        <v>51</v>
      </c>
      <c r="BG1095">
        <v>3.32</v>
      </c>
    </row>
    <row r="1096" spans="58:59" x14ac:dyDescent="0.25">
      <c r="BF1096" t="s">
        <v>52</v>
      </c>
      <c r="BG1096">
        <v>3.32</v>
      </c>
    </row>
    <row r="1097" spans="58:59" x14ac:dyDescent="0.25">
      <c r="BF1097" t="s">
        <v>53</v>
      </c>
      <c r="BG1097">
        <v>3.32</v>
      </c>
    </row>
    <row r="1098" spans="58:59" x14ac:dyDescent="0.25">
      <c r="BF1098" t="s">
        <v>54</v>
      </c>
      <c r="BG1098">
        <v>3.32</v>
      </c>
    </row>
    <row r="1099" spans="58:59" x14ac:dyDescent="0.25">
      <c r="BF1099" t="s">
        <v>55</v>
      </c>
      <c r="BG1099">
        <v>3.32</v>
      </c>
    </row>
    <row r="1100" spans="58:59" x14ac:dyDescent="0.25">
      <c r="BF1100" t="s">
        <v>56</v>
      </c>
      <c r="BG1100">
        <v>3.41</v>
      </c>
    </row>
    <row r="1101" spans="58:59" x14ac:dyDescent="0.25">
      <c r="BF1101" t="s">
        <v>57</v>
      </c>
      <c r="BG1101">
        <v>3.41</v>
      </c>
    </row>
    <row r="1102" spans="58:59" x14ac:dyDescent="0.25">
      <c r="BF1102" t="s">
        <v>58</v>
      </c>
      <c r="BG1102">
        <v>3.41</v>
      </c>
    </row>
    <row r="1103" spans="58:59" x14ac:dyDescent="0.25">
      <c r="BF1103" t="s">
        <v>59</v>
      </c>
      <c r="BG1103">
        <v>3.56</v>
      </c>
    </row>
    <row r="1104" spans="58:59" x14ac:dyDescent="0.25">
      <c r="BF1104" t="s">
        <v>36</v>
      </c>
    </row>
    <row r="1105" spans="58:59" x14ac:dyDescent="0.25">
      <c r="BF1105" t="s">
        <v>36</v>
      </c>
    </row>
    <row r="1106" spans="58:59" x14ac:dyDescent="0.25">
      <c r="BF1106" t="s">
        <v>60</v>
      </c>
      <c r="BG1106" t="s">
        <v>61</v>
      </c>
    </row>
    <row r="1107" spans="58:59" x14ac:dyDescent="0.25">
      <c r="BF1107">
        <v>20</v>
      </c>
    </row>
    <row r="1108" spans="58:59" x14ac:dyDescent="0.25">
      <c r="BF1108">
        <v>25</v>
      </c>
    </row>
    <row r="1109" spans="58:59" x14ac:dyDescent="0.25">
      <c r="BF1109">
        <v>30</v>
      </c>
    </row>
    <row r="1110" spans="58:59" x14ac:dyDescent="0.25">
      <c r="BF1110">
        <v>35</v>
      </c>
    </row>
    <row r="1111" spans="58:59" x14ac:dyDescent="0.25">
      <c r="BF1111">
        <v>40</v>
      </c>
    </row>
    <row r="1112" spans="58:59" x14ac:dyDescent="0.25">
      <c r="BF1112">
        <v>45</v>
      </c>
    </row>
    <row r="1113" spans="58:59" x14ac:dyDescent="0.25">
      <c r="BF1113">
        <v>50</v>
      </c>
    </row>
    <row r="1114" spans="58:59" x14ac:dyDescent="0.25">
      <c r="BF1114">
        <v>55</v>
      </c>
    </row>
    <row r="1115" spans="58:59" x14ac:dyDescent="0.25">
      <c r="BF1115">
        <v>60</v>
      </c>
    </row>
    <row r="1116" spans="58:59" x14ac:dyDescent="0.25">
      <c r="BF1116">
        <v>65</v>
      </c>
    </row>
    <row r="1117" spans="58:59" x14ac:dyDescent="0.25">
      <c r="BF1117">
        <v>70</v>
      </c>
    </row>
    <row r="1118" spans="58:59" x14ac:dyDescent="0.25">
      <c r="BF1118">
        <v>75</v>
      </c>
    </row>
    <row r="1119" spans="58:59" x14ac:dyDescent="0.25">
      <c r="BF1119">
        <v>80</v>
      </c>
    </row>
    <row r="1120" spans="58:59" x14ac:dyDescent="0.25">
      <c r="BF1120">
        <v>85</v>
      </c>
    </row>
    <row r="1121" spans="57:59" x14ac:dyDescent="0.25">
      <c r="BF1121">
        <v>90</v>
      </c>
    </row>
    <row r="1122" spans="57:59" x14ac:dyDescent="0.25">
      <c r="BF1122">
        <v>95</v>
      </c>
    </row>
    <row r="1123" spans="57:59" x14ac:dyDescent="0.25">
      <c r="BF1123">
        <v>100</v>
      </c>
    </row>
    <row r="1124" spans="57:59" x14ac:dyDescent="0.25">
      <c r="BF1124">
        <v>105</v>
      </c>
    </row>
    <row r="1125" spans="57:59" x14ac:dyDescent="0.25">
      <c r="BF1125">
        <v>110</v>
      </c>
    </row>
    <row r="1126" spans="57:59" x14ac:dyDescent="0.25">
      <c r="BE1126">
        <v>115</v>
      </c>
    </row>
    <row r="1127" spans="57:59" x14ac:dyDescent="0.25">
      <c r="BF1127" t="s">
        <v>62</v>
      </c>
    </row>
    <row r="1128" spans="57:59" x14ac:dyDescent="0.25">
      <c r="BF1128" t="s">
        <v>63</v>
      </c>
      <c r="BG1128" t="s">
        <v>61</v>
      </c>
    </row>
    <row r="1129" spans="57:59" x14ac:dyDescent="0.25">
      <c r="BF1129">
        <v>6</v>
      </c>
    </row>
    <row r="1130" spans="57:59" x14ac:dyDescent="0.25">
      <c r="BF1130">
        <v>6.1</v>
      </c>
    </row>
    <row r="1131" spans="57:59" x14ac:dyDescent="0.25">
      <c r="BF1131">
        <v>6.2</v>
      </c>
    </row>
    <row r="1132" spans="57:59" x14ac:dyDescent="0.25">
      <c r="BF1132">
        <v>6.3</v>
      </c>
    </row>
    <row r="1133" spans="57:59" x14ac:dyDescent="0.25">
      <c r="BF1133">
        <v>6.4</v>
      </c>
    </row>
    <row r="1134" spans="57:59" x14ac:dyDescent="0.25">
      <c r="BF1134">
        <v>6.5</v>
      </c>
    </row>
    <row r="1135" spans="57:59" x14ac:dyDescent="0.25">
      <c r="BF1135">
        <v>6.6</v>
      </c>
    </row>
    <row r="1136" spans="57:59" x14ac:dyDescent="0.25">
      <c r="BF1136">
        <v>6.7</v>
      </c>
    </row>
    <row r="1137" spans="57:58" x14ac:dyDescent="0.25">
      <c r="BF1137">
        <v>6.8</v>
      </c>
    </row>
    <row r="1138" spans="57:58" x14ac:dyDescent="0.25">
      <c r="BF1138">
        <v>6.9</v>
      </c>
    </row>
    <row r="1139" spans="57:58" x14ac:dyDescent="0.25">
      <c r="BF1139">
        <v>7</v>
      </c>
    </row>
    <row r="1140" spans="57:58" x14ac:dyDescent="0.25">
      <c r="BF1140">
        <v>7.1</v>
      </c>
    </row>
    <row r="1141" spans="57:58" x14ac:dyDescent="0.25">
      <c r="BF1141">
        <v>7.2</v>
      </c>
    </row>
    <row r="1142" spans="57:58" x14ac:dyDescent="0.25">
      <c r="BF1142">
        <v>7.3</v>
      </c>
    </row>
    <row r="1143" spans="57:58" x14ac:dyDescent="0.25">
      <c r="BE1143">
        <v>7.4</v>
      </c>
    </row>
    <row r="1144" spans="57:58" x14ac:dyDescent="0.25">
      <c r="BF1144" t="s">
        <v>62</v>
      </c>
    </row>
    <row r="1145" spans="57:58" x14ac:dyDescent="0.25">
      <c r="BF1145" t="s">
        <v>36</v>
      </c>
    </row>
  </sheetData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124" r:id="rId4" name="List Box 4">
              <controlPr defaultSize="0" autoLine="0" autoPict="0">
                <anchor moveWithCells="1">
                  <from>
                    <xdr:col>13</xdr:col>
                    <xdr:colOff>171450</xdr:colOff>
                    <xdr:row>23</xdr:row>
                    <xdr:rowOff>0</xdr:rowOff>
                  </from>
                  <to>
                    <xdr:col>15</xdr:col>
                    <xdr:colOff>133350</xdr:colOff>
                    <xdr:row>32</xdr:row>
                    <xdr:rowOff>47625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Лист1</vt:lpstr>
      <vt:lpstr>Лист2</vt:lpstr>
      <vt:lpstr>Лист3</vt:lpstr>
      <vt:lpstr>Лист5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2025-12-03T06:07:24Z</dcterms:modified>
</cp:coreProperties>
</file>